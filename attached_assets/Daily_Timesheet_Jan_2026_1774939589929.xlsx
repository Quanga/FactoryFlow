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EC Electronics\Desktop\Daily Timesheets\"/>
    </mc:Choice>
  </mc:AlternateContent>
  <xr:revisionPtr revIDLastSave="0" documentId="13_ncr:1_{9C645699-2D4E-4917-A3AE-702C6706B347}" xr6:coauthVersionLast="47" xr6:coauthVersionMax="47" xr10:uidLastSave="{00000000-0000-0000-0000-000000000000}"/>
  <bookViews>
    <workbookView xWindow="-108" yWindow="-108" windowWidth="23256" windowHeight="12576" xr2:uid="{5196A857-277C-477E-B759-3AECDF38C2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B31" i="1" l="1"/>
  <c r="AR29" i="1"/>
  <c r="AR28" i="1"/>
  <c r="BP29" i="1"/>
  <c r="AZ31" i="1"/>
  <c r="AZ30" i="1"/>
  <c r="AZ29" i="1"/>
  <c r="D7" i="1"/>
  <c r="D8" i="1"/>
  <c r="D9" i="1"/>
  <c r="D10" i="1"/>
  <c r="D6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BD31" i="1"/>
  <c r="BD30" i="1"/>
  <c r="BD29" i="1"/>
  <c r="AV24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2" i="1"/>
  <c r="H31" i="1"/>
  <c r="T27" i="1"/>
  <c r="CF14" i="1"/>
  <c r="D2" i="1"/>
  <c r="D3" i="1"/>
  <c r="D4" i="1"/>
  <c r="D5" i="1"/>
  <c r="BX32" i="1"/>
  <c r="BX2" i="1"/>
  <c r="BX3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H33" i="1" l="1"/>
  <c r="BX33" i="1"/>
  <c r="CB32" i="1" l="1"/>
  <c r="L30" i="1"/>
  <c r="L31" i="1"/>
  <c r="L32" i="1"/>
  <c r="P30" i="1"/>
  <c r="P31" i="1"/>
  <c r="P32" i="1"/>
  <c r="T30" i="1"/>
  <c r="T31" i="1"/>
  <c r="T32" i="1"/>
  <c r="X30" i="1"/>
  <c r="X31" i="1"/>
  <c r="X32" i="1"/>
  <c r="AB32" i="1"/>
  <c r="AB30" i="1"/>
  <c r="AB31" i="1"/>
  <c r="AF30" i="1"/>
  <c r="AF31" i="1"/>
  <c r="AF32" i="1"/>
  <c r="AJ30" i="1"/>
  <c r="AJ31" i="1"/>
  <c r="AJ32" i="1"/>
  <c r="AN30" i="1"/>
  <c r="AN31" i="1"/>
  <c r="AN32" i="1"/>
  <c r="AR30" i="1"/>
  <c r="AR31" i="1"/>
  <c r="AR32" i="1"/>
  <c r="AV30" i="1"/>
  <c r="AV31" i="1"/>
  <c r="AV32" i="1"/>
  <c r="AZ32" i="1"/>
  <c r="BD32" i="1"/>
  <c r="BH30" i="1"/>
  <c r="BH31" i="1"/>
  <c r="BH32" i="1"/>
  <c r="BL30" i="1"/>
  <c r="BL31" i="1"/>
  <c r="BL32" i="1"/>
  <c r="BP30" i="1"/>
  <c r="BP31" i="1"/>
  <c r="BP32" i="1"/>
  <c r="BT30" i="1"/>
  <c r="BT31" i="1"/>
  <c r="BT32" i="1"/>
  <c r="CB30" i="1"/>
  <c r="CF30" i="1"/>
  <c r="CF31" i="1"/>
  <c r="CF32" i="1"/>
  <c r="CJ30" i="1"/>
  <c r="CJ31" i="1"/>
  <c r="CJ32" i="1"/>
  <c r="T23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2" i="1"/>
  <c r="AB2" i="1"/>
  <c r="T2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4" i="1" s="1"/>
  <c r="L22" i="1"/>
  <c r="L23" i="1"/>
  <c r="L25" i="1"/>
  <c r="L26" i="1"/>
  <c r="L27" i="1"/>
  <c r="L28" i="1"/>
  <c r="L29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F8" i="1"/>
  <c r="CF10" i="1"/>
  <c r="CF11" i="1"/>
  <c r="CF12" i="1"/>
  <c r="CF13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BT11" i="1"/>
  <c r="BT12" i="1"/>
  <c r="BT18" i="1"/>
  <c r="BT19" i="1"/>
  <c r="BT25" i="1"/>
  <c r="BT26" i="1"/>
  <c r="BT29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L2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CJ2" i="1"/>
  <c r="CJ4" i="1"/>
  <c r="CJ5" i="1"/>
  <c r="CF2" i="1"/>
  <c r="CF3" i="1"/>
  <c r="CF4" i="1"/>
  <c r="CF5" i="1"/>
  <c r="CB2" i="1"/>
  <c r="CB3" i="1"/>
  <c r="CB4" i="1"/>
  <c r="CB5" i="1"/>
  <c r="BT2" i="1"/>
  <c r="BT4" i="1"/>
  <c r="BT5" i="1"/>
  <c r="BP2" i="1"/>
  <c r="BP4" i="1"/>
  <c r="BP5" i="1"/>
  <c r="BL2" i="1"/>
  <c r="BL4" i="1"/>
  <c r="BL5" i="1"/>
  <c r="BH2" i="1"/>
  <c r="BH4" i="1"/>
  <c r="BH5" i="1"/>
  <c r="BH11" i="1"/>
  <c r="BH12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D11" i="1"/>
  <c r="BD12" i="1"/>
  <c r="BD18" i="1"/>
  <c r="BD19" i="1"/>
  <c r="BD21" i="1"/>
  <c r="BD22" i="1"/>
  <c r="BD23" i="1"/>
  <c r="BD24" i="1"/>
  <c r="BD25" i="1"/>
  <c r="BD26" i="1"/>
  <c r="BD27" i="1"/>
  <c r="BD28" i="1"/>
  <c r="BD2" i="1"/>
  <c r="BD4" i="1"/>
  <c r="BD5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" i="1"/>
  <c r="AZ4" i="1"/>
  <c r="AZ5" i="1"/>
  <c r="AZ6" i="1"/>
  <c r="CB6" i="1" s="1"/>
  <c r="CF6" i="1" s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5" i="1"/>
  <c r="AV26" i="1"/>
  <c r="AV27" i="1"/>
  <c r="AV28" i="1"/>
  <c r="AV29" i="1"/>
  <c r="AV4" i="1"/>
  <c r="AV5" i="1"/>
  <c r="AV6" i="1"/>
  <c r="AV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" i="1"/>
  <c r="AN3" i="1"/>
  <c r="AN4" i="1"/>
  <c r="AN5" i="1"/>
  <c r="AN6" i="1"/>
  <c r="AN7" i="1"/>
  <c r="AN8" i="1"/>
  <c r="AN9" i="1"/>
  <c r="AN10" i="1"/>
  <c r="AN11" i="1"/>
  <c r="AN12" i="1"/>
  <c r="AN13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2" i="1"/>
  <c r="AJ4" i="1"/>
  <c r="AJ5" i="1"/>
  <c r="AJ11" i="1"/>
  <c r="AJ12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2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4" i="1"/>
  <c r="T25" i="1"/>
  <c r="T26" i="1"/>
  <c r="T28" i="1"/>
  <c r="T29" i="1"/>
  <c r="P4" i="1"/>
  <c r="BD20" i="1" s="1"/>
  <c r="P5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2" i="1"/>
  <c r="L2" i="1"/>
  <c r="L3" i="1"/>
  <c r="L4" i="1"/>
  <c r="L5" i="1"/>
  <c r="L6" i="1"/>
  <c r="T33" i="1" l="1"/>
  <c r="AJ13" i="1"/>
  <c r="AB3" i="1"/>
  <c r="AN14" i="1"/>
  <c r="CJ3" i="1"/>
  <c r="CJ8" i="1"/>
  <c r="CF7" i="1"/>
  <c r="BT24" i="1"/>
  <c r="BT20" i="1"/>
  <c r="BT14" i="1"/>
  <c r="BT8" i="1"/>
  <c r="BP6" i="1"/>
  <c r="BL7" i="1"/>
  <c r="BH10" i="1"/>
  <c r="BH6" i="1"/>
  <c r="BD15" i="1"/>
  <c r="BD9" i="1"/>
  <c r="BD3" i="1"/>
  <c r="AJ17" i="1"/>
  <c r="AJ6" i="1"/>
  <c r="P7" i="1"/>
  <c r="BT22" i="1"/>
  <c r="BT16" i="1"/>
  <c r="BT10" i="1"/>
  <c r="BL9" i="1"/>
  <c r="BH8" i="1"/>
  <c r="BD13" i="1"/>
  <c r="BD7" i="1"/>
  <c r="AJ15" i="1"/>
  <c r="AF3" i="1"/>
  <c r="AF33" i="1" s="1"/>
  <c r="CJ6" i="1"/>
  <c r="CJ7" i="1"/>
  <c r="BT28" i="1"/>
  <c r="BT23" i="1"/>
  <c r="BT17" i="1"/>
  <c r="BT13" i="1"/>
  <c r="BT7" i="1"/>
  <c r="BP3" i="1"/>
  <c r="BL6" i="1"/>
  <c r="BH9" i="1"/>
  <c r="BH3" i="1"/>
  <c r="BD14" i="1"/>
  <c r="BD8" i="1"/>
  <c r="AZ3" i="1"/>
  <c r="AJ16" i="1"/>
  <c r="AJ10" i="1"/>
  <c r="AJ3" i="1"/>
  <c r="P6" i="1"/>
  <c r="BT6" i="1"/>
  <c r="BT3" i="1"/>
  <c r="BL3" i="1"/>
  <c r="BD17" i="1"/>
  <c r="AV3" i="1"/>
  <c r="AJ9" i="1"/>
  <c r="CJ10" i="1"/>
  <c r="CJ9" i="1"/>
  <c r="CF9" i="1"/>
  <c r="BT27" i="1"/>
  <c r="BT21" i="1"/>
  <c r="BT15" i="1"/>
  <c r="BT9" i="1"/>
  <c r="BP7" i="1"/>
  <c r="BL8" i="1"/>
  <c r="BH13" i="1"/>
  <c r="BH7" i="1"/>
  <c r="BD16" i="1"/>
  <c r="BD10" i="1"/>
  <c r="BD6" i="1"/>
  <c r="AJ7" i="1"/>
  <c r="AJ14" i="1"/>
  <c r="AJ8" i="1"/>
  <c r="P3" i="1"/>
  <c r="AV33" i="1"/>
  <c r="X33" i="1"/>
  <c r="AN33" i="1"/>
  <c r="AR33" i="1"/>
  <c r="CB33" i="1"/>
  <c r="CF33" i="1"/>
  <c r="AZ33" i="1"/>
  <c r="L33" i="1"/>
  <c r="AB33" i="1"/>
  <c r="P33" i="1" l="1"/>
  <c r="BL33" i="1"/>
  <c r="CJ33" i="1"/>
  <c r="BD33" i="1"/>
  <c r="D33" i="1"/>
  <c r="BH33" i="1"/>
  <c r="BT33" i="1"/>
  <c r="BP33" i="1"/>
  <c r="AJ33" i="1"/>
</calcChain>
</file>

<file path=xl/sharedStrings.xml><?xml version="1.0" encoding="utf-8"?>
<sst xmlns="http://schemas.openxmlformats.org/spreadsheetml/2006/main" count="457" uniqueCount="150">
  <si>
    <t>Name</t>
  </si>
  <si>
    <t>Jacques</t>
  </si>
  <si>
    <t>Sifiso</t>
  </si>
  <si>
    <t>Jeanette</t>
  </si>
  <si>
    <t>Ntsane</t>
  </si>
  <si>
    <t>Mpumelelo</t>
  </si>
  <si>
    <t>Peace</t>
  </si>
  <si>
    <t>Lefa</t>
  </si>
  <si>
    <t>Newton</t>
  </si>
  <si>
    <t>James</t>
  </si>
  <si>
    <t>Nick</t>
  </si>
  <si>
    <t>Martin</t>
  </si>
  <si>
    <t>Harold</t>
  </si>
  <si>
    <t>Sabelo</t>
  </si>
  <si>
    <t>Braiden</t>
  </si>
  <si>
    <t>Tracey H</t>
  </si>
  <si>
    <t>Charl</t>
  </si>
  <si>
    <t>Jane</t>
  </si>
  <si>
    <t>Tracy Mpala</t>
  </si>
  <si>
    <t>Donovan</t>
  </si>
  <si>
    <t>Monthly Total</t>
  </si>
  <si>
    <t>Colour</t>
  </si>
  <si>
    <t xml:space="preserve">Unpaid Leave </t>
  </si>
  <si>
    <t>Sick Leave</t>
  </si>
  <si>
    <t>Leave</t>
  </si>
  <si>
    <t>Meaning</t>
  </si>
  <si>
    <t>Gerhard</t>
  </si>
  <si>
    <t>William</t>
  </si>
  <si>
    <t>AWOL</t>
  </si>
  <si>
    <t>Half Day Leave</t>
  </si>
  <si>
    <t>Public Holiday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</si>
  <si>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</si>
  <si>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</si>
  <si>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</si>
  <si>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</si>
  <si>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</si>
  <si>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</si>
  <si>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</si>
  <si>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</si>
  <si>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</si>
  <si>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</si>
  <si>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</si>
  <si>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</si>
  <si>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</si>
  <si>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</si>
  <si>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</si>
  <si>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</si>
  <si>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</si>
  <si>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</si>
  <si>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</si>
  <si>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</si>
  <si>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</si>
  <si>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</si>
  <si>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</si>
  <si>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</si>
  <si>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</si>
  <si>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</si>
  <si>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</si>
  <si>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</si>
  <si>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</si>
  <si>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</si>
  <si>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</si>
  <si>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AEC0063</t>
  </si>
  <si>
    <t>AEC0081</t>
  </si>
  <si>
    <t>AEC0070</t>
  </si>
  <si>
    <t>AEC0062</t>
  </si>
  <si>
    <t>AEC0085</t>
  </si>
  <si>
    <t>AEC0086</t>
  </si>
  <si>
    <t>AEC0061</t>
  </si>
  <si>
    <t>AEC056</t>
  </si>
  <si>
    <t>AEC0067</t>
  </si>
  <si>
    <t>AEC0065</t>
  </si>
  <si>
    <t>AEC0068</t>
  </si>
  <si>
    <t>AEC0064</t>
  </si>
  <si>
    <t>UNPAID</t>
  </si>
  <si>
    <t>LEAVE</t>
  </si>
  <si>
    <t>ANNUAL</t>
  </si>
  <si>
    <t>AEC0093</t>
  </si>
  <si>
    <t>Stef V.D Westhuizen</t>
  </si>
  <si>
    <t>Arib Patel</t>
  </si>
  <si>
    <t>7:15</t>
  </si>
  <si>
    <t>16:26</t>
  </si>
  <si>
    <t>7:50</t>
  </si>
  <si>
    <t>16:39</t>
  </si>
  <si>
    <t>6:36</t>
  </si>
  <si>
    <t>16:35</t>
  </si>
  <si>
    <t>7:05</t>
  </si>
  <si>
    <t>16:38</t>
  </si>
  <si>
    <t>7:18</t>
  </si>
  <si>
    <t>16:27</t>
  </si>
  <si>
    <t>7:19</t>
  </si>
  <si>
    <t>16:22</t>
  </si>
  <si>
    <t>AEC0097</t>
  </si>
  <si>
    <t>16:30</t>
  </si>
  <si>
    <t>AEC096</t>
  </si>
  <si>
    <t>No form</t>
  </si>
  <si>
    <t>SICK</t>
  </si>
  <si>
    <t>16:16</t>
  </si>
  <si>
    <t>7:13</t>
  </si>
  <si>
    <t>AEC0098</t>
  </si>
  <si>
    <t>16:21</t>
  </si>
  <si>
    <t>7:14</t>
  </si>
  <si>
    <t>AEC0095</t>
  </si>
  <si>
    <t>16:36</t>
  </si>
  <si>
    <t>16:32</t>
  </si>
  <si>
    <t>7:24</t>
  </si>
  <si>
    <t>16:28</t>
  </si>
  <si>
    <t>7:02</t>
  </si>
  <si>
    <t>Boitumelo</t>
  </si>
  <si>
    <t>16:57</t>
  </si>
  <si>
    <t>6:58</t>
  </si>
  <si>
    <t>7:20</t>
  </si>
  <si>
    <t>7:04</t>
  </si>
  <si>
    <t>7:08</t>
  </si>
  <si>
    <t>16:45</t>
  </si>
  <si>
    <t>7:09</t>
  </si>
  <si>
    <t>6:52</t>
  </si>
  <si>
    <t>7:11</t>
  </si>
  <si>
    <t>7:12</t>
  </si>
  <si>
    <t>6:50</t>
  </si>
  <si>
    <t>16:25</t>
  </si>
  <si>
    <t>7:07</t>
  </si>
  <si>
    <t>16:23</t>
  </si>
  <si>
    <t>16:34</t>
  </si>
  <si>
    <t>16:17</t>
  </si>
  <si>
    <t>16:19</t>
  </si>
  <si>
    <t>10:56</t>
  </si>
  <si>
    <t>Family Responsiblility</t>
  </si>
  <si>
    <t>AEC00103</t>
  </si>
  <si>
    <t>FAMILY</t>
  </si>
  <si>
    <t>7:00</t>
  </si>
  <si>
    <t>16:40</t>
  </si>
  <si>
    <t>6:33</t>
  </si>
  <si>
    <t>16:15</t>
  </si>
  <si>
    <t>7:25</t>
  </si>
  <si>
    <t>7:03</t>
  </si>
  <si>
    <t>7:06</t>
  </si>
  <si>
    <t>16:41</t>
  </si>
  <si>
    <t>6:56</t>
  </si>
  <si>
    <t>16:18</t>
  </si>
  <si>
    <t>6:53</t>
  </si>
  <si>
    <t>16:20</t>
  </si>
  <si>
    <t>7:10</t>
  </si>
  <si>
    <t>6:54</t>
  </si>
  <si>
    <t>6:42</t>
  </si>
  <si>
    <t>AEC00105</t>
  </si>
  <si>
    <t>AEC00106</t>
  </si>
  <si>
    <t>15:45</t>
  </si>
  <si>
    <t>AEC00108</t>
  </si>
  <si>
    <t>17:07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</si>
</sst>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2060"/>
      <name val="Aptos Narrow"/>
      <family val="2"/>
    </font>
    <font>
      <sz val="11"/>
      <color rgb="FFFF0000"/>
      <name val="Aptos Narrow"/>
      <family val="2"/>
    </font>
    <font>
      <sz val="10"/>
      <color rgb="FF000000"/>
      <name val="Aptos Narrow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5" fontId="1" fillId="2" borderId="2" xfId="0" applyNumberFormat="1" applyFont="1" applyFill="1" applyBorder="1" applyAlignment="1">
      <alignment vertical="center"/>
    </xf>
    <xf numFmtId="15" fontId="0" fillId="0" borderId="0" xfId="0" applyNumberFormat="1"/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20" fontId="1" fillId="2" borderId="4" xfId="0" applyNumberFormat="1" applyFont="1" applyFill="1" applyBorder="1" applyAlignment="1" applyProtection="1">
      <alignment horizontal="center" vertical="center"/>
      <protection locked="0"/>
    </xf>
    <xf numFmtId="2" fontId="1" fillId="2" borderId="4" xfId="0" applyNumberFormat="1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20" fontId="1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20" fontId="7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2" fontId="0" fillId="0" borderId="5" xfId="0" applyNumberFormat="1" applyBorder="1" applyAlignment="1" applyProtection="1">
      <alignment horizontal="center"/>
      <protection locked="0"/>
    </xf>
    <xf numFmtId="20" fontId="1" fillId="2" borderId="11" xfId="0" applyNumberFormat="1" applyFont="1" applyFill="1" applyBorder="1" applyAlignment="1" applyProtection="1">
      <alignment horizontal="center" vertical="center"/>
      <protection locked="0"/>
    </xf>
    <xf numFmtId="2" fontId="1" fillId="2" borderId="12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20" fontId="1" fillId="2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20" fontId="7" fillId="2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19" fontId="1" fillId="2" borderId="11" xfId="0" applyNumberFormat="1" applyFont="1" applyFill="1" applyBorder="1" applyAlignment="1" applyProtection="1">
      <alignment horizontal="center" vertical="center"/>
      <protection locked="0"/>
    </xf>
    <xf numFmtId="19" fontId="1" fillId="2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15" fontId="0" fillId="6" borderId="18" xfId="0" applyNumberFormat="1" applyFill="1" applyBorder="1"/>
    <xf numFmtId="15" fontId="1" fillId="2" borderId="5" xfId="0" applyNumberFormat="1" applyFont="1" applyFill="1" applyBorder="1" applyAlignment="1">
      <alignment horizontal="center" vertical="center"/>
    </xf>
    <xf numFmtId="15" fontId="1" fillId="2" borderId="5" xfId="0" applyNumberFormat="1" applyFont="1" applyFill="1" applyBorder="1" applyAlignment="1">
      <alignment vertical="center"/>
    </xf>
    <xf numFmtId="2" fontId="1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19" fontId="1" fillId="2" borderId="19" xfId="0" applyNumberFormat="1" applyFont="1" applyFill="1" applyBorder="1" applyAlignment="1" applyProtection="1">
      <alignment horizontal="center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2" fontId="1" fillId="2" borderId="24" xfId="0" applyNumberFormat="1" applyFont="1" applyFill="1" applyBorder="1" applyAlignment="1" applyProtection="1">
      <alignment horizontal="center" vertical="center"/>
      <protection locked="0"/>
    </xf>
    <xf numFmtId="20" fontId="1" fillId="9" borderId="11" xfId="0" applyNumberFormat="1" applyFont="1" applyFill="1" applyBorder="1" applyAlignment="1" applyProtection="1">
      <alignment horizontal="center" vertical="center"/>
      <protection locked="0"/>
    </xf>
    <xf numFmtId="20" fontId="1" fillId="9" borderId="3" xfId="0" applyNumberFormat="1" applyFont="1" applyFill="1" applyBorder="1" applyAlignment="1" applyProtection="1">
      <alignment horizontal="center" vertical="center"/>
      <protection locked="0"/>
    </xf>
    <xf numFmtId="2" fontId="1" fillId="9" borderId="4" xfId="0" applyNumberFormat="1" applyFont="1" applyFill="1" applyBorder="1" applyAlignment="1" applyProtection="1">
      <alignment horizontal="center" vertical="center"/>
      <protection locked="0"/>
    </xf>
    <xf numFmtId="2" fontId="1" fillId="9" borderId="12" xfId="0" applyNumberFormat="1" applyFont="1" applyFill="1" applyBorder="1" applyAlignment="1" applyProtection="1">
      <alignment horizontal="center" vertical="center"/>
      <protection locked="0"/>
    </xf>
    <xf numFmtId="0" fontId="1" fillId="9" borderId="4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20" fontId="0" fillId="9" borderId="3" xfId="0" applyNumberFormat="1" applyFill="1" applyBorder="1" applyAlignment="1" applyProtection="1">
      <alignment horizontal="center"/>
      <protection locked="0"/>
    </xf>
    <xf numFmtId="0" fontId="1" fillId="9" borderId="15" xfId="0" applyFont="1" applyFill="1" applyBorder="1" applyAlignment="1" applyProtection="1">
      <alignment horizontal="center" vertical="center"/>
      <protection locked="0"/>
    </xf>
    <xf numFmtId="20" fontId="0" fillId="9" borderId="15" xfId="0" applyNumberFormat="1" applyFill="1" applyBorder="1" applyAlignment="1" applyProtection="1">
      <alignment horizontal="center"/>
      <protection locked="0"/>
    </xf>
    <xf numFmtId="20" fontId="1" fillId="9" borderId="15" xfId="0" applyNumberFormat="1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" xfId="0" applyFont="1" applyFill="1" applyBorder="1" applyAlignment="1" applyProtection="1">
      <alignment horizontal="center" vertical="center"/>
      <protection locked="0"/>
    </xf>
    <xf numFmtId="20" fontId="4" fillId="9" borderId="11" xfId="0" applyNumberFormat="1" applyFont="1" applyFill="1" applyBorder="1" applyAlignment="1" applyProtection="1">
      <alignment horizontal="center" vertical="center"/>
      <protection locked="0"/>
    </xf>
    <xf numFmtId="20" fontId="4" fillId="9" borderId="3" xfId="0" applyNumberFormat="1" applyFont="1" applyFill="1" applyBorder="1" applyAlignment="1" applyProtection="1">
      <alignment horizontal="center" vertical="center"/>
      <protection locked="0"/>
    </xf>
    <xf numFmtId="20" fontId="1" fillId="9" borderId="4" xfId="0" applyNumberFormat="1" applyFont="1" applyFill="1" applyBorder="1" applyAlignment="1" applyProtection="1">
      <alignment horizontal="center" vertical="center"/>
      <protection locked="0"/>
    </xf>
    <xf numFmtId="20" fontId="6" fillId="9" borderId="11" xfId="0" applyNumberFormat="1" applyFont="1" applyFill="1" applyBorder="1" applyAlignment="1" applyProtection="1">
      <alignment horizontal="center" vertical="center"/>
      <protection locked="0"/>
    </xf>
    <xf numFmtId="20" fontId="6" fillId="9" borderId="3" xfId="0" applyNumberFormat="1" applyFont="1" applyFill="1" applyBorder="1" applyAlignment="1" applyProtection="1">
      <alignment horizontal="center" vertical="center"/>
      <protection locked="0"/>
    </xf>
    <xf numFmtId="19" fontId="1" fillId="9" borderId="13" xfId="0" applyNumberFormat="1" applyFont="1" applyFill="1" applyBorder="1" applyAlignment="1" applyProtection="1">
      <alignment horizontal="center" vertical="center"/>
      <protection locked="0"/>
    </xf>
    <xf numFmtId="19" fontId="1" fillId="9" borderId="14" xfId="0" applyNumberFormat="1" applyFont="1" applyFill="1" applyBorder="1" applyAlignment="1" applyProtection="1">
      <alignment horizontal="center" vertical="center"/>
      <protection locked="0"/>
    </xf>
    <xf numFmtId="2" fontId="1" fillId="9" borderId="14" xfId="0" applyNumberFormat="1" applyFont="1" applyFill="1" applyBorder="1" applyAlignment="1" applyProtection="1">
      <alignment horizontal="center" vertical="center"/>
      <protection locked="0"/>
    </xf>
    <xf numFmtId="2" fontId="1" fillId="9" borderId="16" xfId="0" applyNumberFormat="1" applyFont="1" applyFill="1" applyBorder="1" applyAlignment="1" applyProtection="1">
      <alignment horizontal="center" vertical="center"/>
      <protection locked="0"/>
    </xf>
    <xf numFmtId="0" fontId="1" fillId="9" borderId="13" xfId="0" applyFont="1" applyFill="1" applyBorder="1" applyAlignment="1" applyProtection="1">
      <alignment horizontal="center" vertical="center"/>
      <protection locked="0"/>
    </xf>
    <xf numFmtId="0" fontId="1" fillId="9" borderId="14" xfId="0" applyFont="1" applyFill="1" applyBorder="1" applyAlignment="1" applyProtection="1">
      <alignment horizontal="center" vertical="center"/>
      <protection locked="0"/>
    </xf>
    <xf numFmtId="0" fontId="1" fillId="9" borderId="16" xfId="0" applyFont="1" applyFill="1" applyBorder="1" applyAlignment="1" applyProtection="1">
      <alignment horizontal="center" vertical="center"/>
      <protection locked="0"/>
    </xf>
    <xf numFmtId="164" fontId="1" fillId="2" borderId="2" xfId="0" applyNumberFormat="1" applyFont="1" applyFill="1" applyBorder="1" applyAlignment="1">
      <alignment vertical="center"/>
    </xf>
    <xf numFmtId="0" fontId="1" fillId="9" borderId="19" xfId="0" applyFont="1" applyFill="1" applyBorder="1" applyAlignment="1" applyProtection="1">
      <alignment horizontal="center" vertical="center"/>
      <protection locked="0"/>
    </xf>
    <xf numFmtId="19" fontId="1" fillId="9" borderId="21" xfId="0" applyNumberFormat="1" applyFont="1" applyFill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0" fontId="1" fillId="9" borderId="28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 vertical="center"/>
      <protection locked="0"/>
    </xf>
    <xf numFmtId="0" fontId="3" fillId="9" borderId="28" xfId="0" applyFont="1" applyFill="1" applyBorder="1" applyAlignment="1" applyProtection="1">
      <alignment horizontal="center" vertical="center"/>
      <protection locked="0"/>
    </xf>
    <xf numFmtId="19" fontId="1" fillId="2" borderId="28" xfId="0" applyNumberFormat="1" applyFont="1" applyFill="1" applyBorder="1" applyAlignment="1" applyProtection="1">
      <alignment horizontal="center" vertical="center"/>
      <protection locked="0"/>
    </xf>
    <xf numFmtId="19" fontId="1" fillId="9" borderId="29" xfId="0" applyNumberFormat="1" applyFont="1" applyFill="1" applyBorder="1" applyAlignment="1" applyProtection="1">
      <alignment horizontal="center" vertical="center"/>
      <protection locked="0"/>
    </xf>
    <xf numFmtId="20" fontId="1" fillId="8" borderId="11" xfId="0" applyNumberFormat="1" applyFont="1" applyFill="1" applyBorder="1" applyAlignment="1" applyProtection="1">
      <alignment horizontal="center" vertical="center"/>
      <protection locked="0"/>
    </xf>
    <xf numFmtId="20" fontId="1" fillId="8" borderId="8" xfId="0" applyNumberFormat="1" applyFont="1" applyFill="1" applyBorder="1" applyAlignment="1" applyProtection="1">
      <alignment horizontal="center" vertical="center"/>
      <protection locked="0"/>
    </xf>
    <xf numFmtId="20" fontId="1" fillId="8" borderId="9" xfId="0" applyNumberFormat="1" applyFont="1" applyFill="1" applyBorder="1" applyAlignment="1" applyProtection="1">
      <alignment horizontal="center" vertical="center"/>
      <protection locked="0"/>
    </xf>
    <xf numFmtId="2" fontId="1" fillId="8" borderId="9" xfId="0" applyNumberFormat="1" applyFont="1" applyFill="1" applyBorder="1" applyAlignment="1" applyProtection="1">
      <alignment horizontal="center" vertical="center"/>
      <protection locked="0"/>
    </xf>
    <xf numFmtId="2" fontId="1" fillId="8" borderId="10" xfId="0" applyNumberFormat="1" applyFont="1" applyFill="1" applyBorder="1" applyAlignment="1" applyProtection="1">
      <alignment horizontal="center" vertical="center"/>
      <protection locked="0"/>
    </xf>
    <xf numFmtId="0" fontId="1" fillId="8" borderId="9" xfId="0" applyFont="1" applyFill="1" applyBorder="1" applyAlignment="1" applyProtection="1">
      <alignment horizontal="center" vertical="center"/>
      <protection locked="0"/>
    </xf>
    <xf numFmtId="0" fontId="1" fillId="8" borderId="10" xfId="0" applyFont="1" applyFill="1" applyBorder="1" applyAlignment="1" applyProtection="1">
      <alignment horizontal="center" vertical="center"/>
      <protection locked="0"/>
    </xf>
    <xf numFmtId="0" fontId="1" fillId="8" borderId="8" xfId="0" applyFont="1" applyFill="1" applyBorder="1" applyAlignment="1" applyProtection="1">
      <alignment horizontal="center" vertical="center"/>
      <protection locked="0"/>
    </xf>
    <xf numFmtId="20" fontId="0" fillId="8" borderId="8" xfId="0" applyNumberFormat="1" applyFill="1" applyBorder="1" applyAlignment="1" applyProtection="1">
      <alignment horizontal="center"/>
      <protection locked="0"/>
    </xf>
    <xf numFmtId="0" fontId="1" fillId="8" borderId="23" xfId="0" applyFont="1" applyFill="1" applyBorder="1" applyAlignment="1" applyProtection="1">
      <alignment horizontal="center" vertical="center"/>
      <protection locked="0"/>
    </xf>
    <xf numFmtId="0" fontId="1" fillId="8" borderId="27" xfId="0" applyFont="1" applyFill="1" applyBorder="1" applyAlignment="1" applyProtection="1">
      <alignment horizontal="center" vertical="center"/>
      <protection locked="0"/>
    </xf>
    <xf numFmtId="20" fontId="1" fillId="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0" fontId="0" fillId="2" borderId="31" xfId="0" applyFill="1" applyBorder="1" applyProtection="1">
      <protection locked="0"/>
    </xf>
    <xf numFmtId="20" fontId="1" fillId="3" borderId="11" xfId="0" applyNumberFormat="1" applyFont="1" applyFill="1" applyBorder="1" applyAlignment="1" applyProtection="1">
      <alignment horizontal="center" vertical="center"/>
      <protection locked="0"/>
    </xf>
    <xf numFmtId="20" fontId="1" fillId="3" borderId="3" xfId="0" applyNumberFormat="1" applyFont="1" applyFill="1" applyBorder="1" applyAlignment="1" applyProtection="1">
      <alignment horizontal="center" vertical="center"/>
      <protection locked="0"/>
    </xf>
    <xf numFmtId="20" fontId="1" fillId="5" borderId="32" xfId="0" applyNumberFormat="1" applyFont="1" applyFill="1" applyBorder="1" applyAlignment="1" applyProtection="1">
      <alignment horizontal="center" vertical="center"/>
      <protection locked="0"/>
    </xf>
    <xf numFmtId="0" fontId="1" fillId="8" borderId="33" xfId="0" applyFont="1" applyFill="1" applyBorder="1" applyAlignment="1" applyProtection="1">
      <alignment horizontal="center" vertical="center"/>
      <protection locked="0"/>
    </xf>
    <xf numFmtId="0" fontId="1" fillId="2" borderId="34" xfId="0" applyFont="1" applyFill="1" applyBorder="1" applyAlignment="1" applyProtection="1">
      <alignment horizontal="center" vertical="center"/>
      <protection locked="0"/>
    </xf>
    <xf numFmtId="0" fontId="1" fillId="9" borderId="34" xfId="0" applyFont="1" applyFill="1" applyBorder="1" applyAlignment="1" applyProtection="1">
      <alignment horizontal="center" vertical="center"/>
      <protection locked="0"/>
    </xf>
    <xf numFmtId="0" fontId="1" fillId="2" borderId="35" xfId="0" applyFont="1" applyFill="1" applyBorder="1" applyAlignment="1" applyProtection="1">
      <alignment horizontal="center" vertical="center"/>
      <protection locked="0"/>
    </xf>
    <xf numFmtId="20" fontId="1" fillId="8" borderId="36" xfId="0" applyNumberFormat="1" applyFont="1" applyFill="1" applyBorder="1" applyAlignment="1" applyProtection="1">
      <alignment horizontal="center" vertical="center"/>
      <protection locked="0"/>
    </xf>
    <xf numFmtId="20" fontId="1" fillId="2" borderId="32" xfId="0" applyNumberFormat="1" applyFont="1" applyFill="1" applyBorder="1" applyAlignment="1" applyProtection="1">
      <alignment horizontal="center" vertical="center"/>
      <protection locked="0"/>
    </xf>
    <xf numFmtId="20" fontId="1" fillId="9" borderId="32" xfId="0" applyNumberFormat="1" applyFont="1" applyFill="1" applyBorder="1" applyAlignment="1" applyProtection="1">
      <alignment horizontal="center" vertical="center"/>
      <protection locked="0"/>
    </xf>
    <xf numFmtId="20" fontId="1" fillId="2" borderId="37" xfId="0" applyNumberFormat="1" applyFont="1" applyFill="1" applyBorder="1" applyAlignment="1" applyProtection="1">
      <alignment horizontal="center" vertical="center"/>
      <protection locked="0"/>
    </xf>
    <xf numFmtId="0" fontId="1" fillId="9" borderId="24" xfId="0" applyFont="1" applyFill="1" applyBorder="1" applyAlignment="1" applyProtection="1">
      <alignment horizontal="center" vertical="center"/>
      <protection locked="0"/>
    </xf>
    <xf numFmtId="0" fontId="1" fillId="9" borderId="39" xfId="0" applyFont="1" applyFill="1" applyBorder="1" applyAlignment="1" applyProtection="1">
      <alignment horizontal="center" vertical="center"/>
      <protection locked="0"/>
    </xf>
    <xf numFmtId="0" fontId="1" fillId="9" borderId="41" xfId="0" applyFont="1" applyFill="1" applyBorder="1" applyAlignment="1" applyProtection="1">
      <alignment horizontal="center" vertical="center"/>
      <protection locked="0"/>
    </xf>
    <xf numFmtId="0" fontId="1" fillId="9" borderId="42" xfId="0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20" fontId="6" fillId="2" borderId="11" xfId="0" applyNumberFormat="1" applyFont="1" applyFill="1" applyBorder="1" applyAlignment="1" applyProtection="1">
      <alignment horizontal="center" vertical="center"/>
      <protection locked="0"/>
    </xf>
    <xf numFmtId="20" fontId="6" fillId="2" borderId="32" xfId="0" applyNumberFormat="1" applyFont="1" applyFill="1" applyBorder="1" applyAlignment="1" applyProtection="1">
      <alignment horizontal="center" vertical="center"/>
      <protection locked="0"/>
    </xf>
    <xf numFmtId="20" fontId="6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2" fontId="1" fillId="8" borderId="44" xfId="0" applyNumberFormat="1" applyFont="1" applyFill="1" applyBorder="1" applyAlignment="1" applyProtection="1">
      <alignment horizontal="center" vertical="center"/>
      <protection locked="0"/>
    </xf>
    <xf numFmtId="2" fontId="1" fillId="2" borderId="9" xfId="0" applyNumberFormat="1" applyFont="1" applyFill="1" applyBorder="1" applyAlignment="1" applyProtection="1">
      <alignment horizontal="center" vertical="center"/>
      <protection locked="0"/>
    </xf>
    <xf numFmtId="15" fontId="1" fillId="2" borderId="24" xfId="0" applyNumberFormat="1" applyFont="1" applyFill="1" applyBorder="1" applyAlignment="1">
      <alignment horizontal="center" vertical="center"/>
    </xf>
    <xf numFmtId="2" fontId="1" fillId="9" borderId="46" xfId="0" applyNumberFormat="1" applyFont="1" applyFill="1" applyBorder="1" applyAlignment="1" applyProtection="1">
      <alignment horizontal="center" vertical="center"/>
      <protection locked="0"/>
    </xf>
    <xf numFmtId="164" fontId="1" fillId="8" borderId="44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9" borderId="11" xfId="0" applyNumberFormat="1" applyFont="1" applyFill="1" applyBorder="1" applyAlignment="1">
      <alignment horizontal="center" vertical="center"/>
    </xf>
    <xf numFmtId="164" fontId="1" fillId="9" borderId="3" xfId="0" applyNumberFormat="1" applyFont="1" applyFill="1" applyBorder="1" applyAlignment="1">
      <alignment horizontal="center" vertical="center"/>
    </xf>
    <xf numFmtId="164" fontId="1" fillId="9" borderId="24" xfId="0" applyNumberFormat="1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20" fontId="1" fillId="2" borderId="1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5" fontId="1" fillId="9" borderId="13" xfId="0" applyNumberFormat="1" applyFont="1" applyFill="1" applyBorder="1" applyAlignment="1">
      <alignment horizontal="center" vertical="center"/>
    </xf>
    <xf numFmtId="15" fontId="1" fillId="9" borderId="14" xfId="0" applyNumberFormat="1" applyFont="1" applyFill="1" applyBorder="1" applyAlignment="1">
      <alignment horizontal="center" vertical="center"/>
    </xf>
    <xf numFmtId="15" fontId="1" fillId="9" borderId="16" xfId="0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15" fontId="0" fillId="0" borderId="45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5" fontId="0" fillId="2" borderId="0" xfId="0" applyNumberFormat="1" applyFill="1" applyAlignment="1">
      <alignment horizontal="center"/>
    </xf>
    <xf numFmtId="20" fontId="1" fillId="2" borderId="3" xfId="0" applyNumberFormat="1" applyFont="1" applyFill="1" applyBorder="1" applyAlignment="1">
      <alignment horizontal="center" vertical="center"/>
    </xf>
    <xf numFmtId="49" fontId="1" fillId="2" borderId="37" xfId="0" applyNumberFormat="1" applyFont="1" applyFill="1" applyBorder="1" applyAlignment="1" applyProtection="1">
      <alignment horizontal="center" vertical="center"/>
      <protection locked="0"/>
    </xf>
    <xf numFmtId="49" fontId="1" fillId="2" borderId="4" xfId="0" applyNumberFormat="1" applyFont="1" applyFill="1" applyBorder="1" applyAlignment="1" applyProtection="1">
      <alignment horizontal="center" vertical="center"/>
      <protection locked="0"/>
    </xf>
    <xf numFmtId="49" fontId="6" fillId="2" borderId="32" xfId="0" applyNumberFormat="1" applyFont="1" applyFill="1" applyBorder="1" applyAlignment="1" applyProtection="1">
      <alignment horizontal="center" vertical="center"/>
      <protection locked="0"/>
    </xf>
    <xf numFmtId="49" fontId="6" fillId="2" borderId="3" xfId="0" applyNumberFormat="1" applyFont="1" applyFill="1" applyBorder="1" applyAlignment="1" applyProtection="1">
      <alignment horizontal="center" vertical="center"/>
      <protection locked="0"/>
    </xf>
    <xf numFmtId="49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1" fillId="2" borderId="3" xfId="0" applyNumberFormat="1" applyFont="1" applyFill="1" applyBorder="1" applyAlignment="1" applyProtection="1">
      <alignment horizontal="center" vertical="center"/>
      <protection locked="0"/>
    </xf>
    <xf numFmtId="49" fontId="1" fillId="9" borderId="32" xfId="0" applyNumberFormat="1" applyFont="1" applyFill="1" applyBorder="1" applyAlignment="1" applyProtection="1">
      <alignment horizontal="center" vertical="center"/>
      <protection locked="0"/>
    </xf>
    <xf numFmtId="49" fontId="1" fillId="9" borderId="3" xfId="0" applyNumberFormat="1" applyFont="1" applyFill="1" applyBorder="1" applyAlignment="1" applyProtection="1">
      <alignment horizontal="center" vertical="center"/>
      <protection locked="0"/>
    </xf>
    <xf numFmtId="49" fontId="1" fillId="9" borderId="43" xfId="0" applyNumberFormat="1" applyFont="1" applyFill="1" applyBorder="1" applyAlignment="1" applyProtection="1">
      <alignment horizontal="center" vertical="center"/>
      <protection locked="0"/>
    </xf>
    <xf numFmtId="49" fontId="1" fillId="9" borderId="14" xfId="0" applyNumberFormat="1" applyFont="1" applyFill="1" applyBorder="1" applyAlignment="1" applyProtection="1">
      <alignment horizontal="center" vertical="center"/>
      <protection locked="0"/>
    </xf>
    <xf numFmtId="20" fontId="0" fillId="7" borderId="18" xfId="0" applyNumberFormat="1" applyFill="1" applyBorder="1" applyAlignment="1">
      <alignment horizontal="center"/>
    </xf>
    <xf numFmtId="49" fontId="7" fillId="2" borderId="32" xfId="0" applyNumberFormat="1" applyFont="1" applyFill="1" applyBorder="1" applyAlignment="1" applyProtection="1">
      <alignment horizontal="center" vertical="center"/>
      <protection locked="0"/>
    </xf>
    <xf numFmtId="49" fontId="7" fillId="2" borderId="3" xfId="0" applyNumberFormat="1" applyFont="1" applyFill="1" applyBorder="1" applyAlignment="1" applyProtection="1">
      <alignment horizontal="center" vertical="center"/>
      <protection locked="0"/>
    </xf>
    <xf numFmtId="164" fontId="1" fillId="8" borderId="47" xfId="0" applyNumberFormat="1" applyFont="1" applyFill="1" applyBorder="1" applyAlignment="1">
      <alignment horizontal="center" vertical="center"/>
    </xf>
    <xf numFmtId="164" fontId="1" fillId="2" borderId="33" xfId="0" applyNumberFormat="1" applyFont="1" applyFill="1" applyBorder="1" applyAlignment="1">
      <alignment horizontal="center" vertical="center"/>
    </xf>
    <xf numFmtId="164" fontId="1" fillId="9" borderId="35" xfId="0" applyNumberFormat="1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2" fontId="1" fillId="2" borderId="34" xfId="0" applyNumberFormat="1" applyFont="1" applyFill="1" applyBorder="1" applyAlignment="1" applyProtection="1">
      <alignment horizontal="center" vertical="center"/>
      <protection locked="0"/>
    </xf>
    <xf numFmtId="15" fontId="1" fillId="2" borderId="35" xfId="0" applyNumberFormat="1" applyFont="1" applyFill="1" applyBorder="1" applyAlignment="1">
      <alignment horizontal="center" vertical="center"/>
    </xf>
    <xf numFmtId="15" fontId="1" fillId="9" borderId="39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 applyProtection="1">
      <alignment horizontal="center" vertical="center"/>
      <protection locked="0"/>
    </xf>
    <xf numFmtId="2" fontId="1" fillId="9" borderId="3" xfId="0" applyNumberFormat="1" applyFont="1" applyFill="1" applyBorder="1" applyAlignment="1" applyProtection="1">
      <alignment horizontal="center" vertical="center"/>
      <protection locked="0"/>
    </xf>
    <xf numFmtId="164" fontId="1" fillId="8" borderId="15" xfId="0" applyNumberFormat="1" applyFont="1" applyFill="1" applyBorder="1" applyAlignment="1">
      <alignment horizontal="center" vertical="center"/>
    </xf>
    <xf numFmtId="164" fontId="1" fillId="8" borderId="4" xfId="0" applyNumberFormat="1" applyFont="1" applyFill="1" applyBorder="1" applyAlignment="1">
      <alignment horizontal="center" vertical="center"/>
    </xf>
    <xf numFmtId="2" fontId="1" fillId="8" borderId="4" xfId="0" applyNumberFormat="1" applyFont="1" applyFill="1" applyBorder="1" applyAlignment="1" applyProtection="1">
      <alignment horizontal="center" vertical="center"/>
      <protection locked="0"/>
    </xf>
    <xf numFmtId="164" fontId="1" fillId="8" borderId="12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 applyProtection="1">
      <alignment horizontal="center" vertical="center"/>
      <protection locked="0"/>
    </xf>
    <xf numFmtId="49" fontId="1" fillId="2" borderId="15" xfId="0" applyNumberFormat="1" applyFont="1" applyFill="1" applyBorder="1" applyAlignment="1" applyProtection="1">
      <alignment horizontal="center" vertical="center"/>
      <protection locked="0"/>
    </xf>
    <xf numFmtId="20" fontId="1" fillId="6" borderId="11" xfId="0" applyNumberFormat="1" applyFont="1" applyFill="1" applyBorder="1" applyAlignment="1" applyProtection="1">
      <alignment horizontal="center" vertical="center"/>
      <protection locked="0"/>
    </xf>
    <xf numFmtId="20" fontId="1" fillId="6" borderId="3" xfId="0" applyNumberFormat="1" applyFont="1" applyFill="1" applyBorder="1" applyAlignment="1" applyProtection="1">
      <alignment horizontal="center" vertical="center"/>
      <protection locked="0"/>
    </xf>
    <xf numFmtId="0" fontId="1" fillId="9" borderId="48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/>
    </xf>
    <xf numFmtId="15" fontId="0" fillId="8" borderId="18" xfId="0" applyNumberFormat="1" applyFill="1" applyBorder="1"/>
    <xf numFmtId="15" fontId="0" fillId="10" borderId="51" xfId="0" applyNumberFormat="1" applyFill="1" applyBorder="1"/>
    <xf numFmtId="49" fontId="1" fillId="10" borderId="11" xfId="0" applyNumberFormat="1" applyFont="1" applyFill="1" applyBorder="1" applyAlignment="1" applyProtection="1">
      <alignment horizontal="center" vertical="center"/>
      <protection locked="0"/>
    </xf>
    <xf numFmtId="49" fontId="1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0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 applyProtection="1">
      <alignment horizontal="center" vertical="center"/>
      <protection locked="0"/>
    </xf>
    <xf numFmtId="0" fontId="1" fillId="0" borderId="40" xfId="0" applyFont="1" applyBorder="1" applyAlignment="1" applyProtection="1">
      <alignment horizontal="center" vertical="center"/>
      <protection locked="0"/>
    </xf>
    <xf numFmtId="15" fontId="0" fillId="2" borderId="49" xfId="0" applyNumberFormat="1" applyFill="1" applyBorder="1" applyAlignment="1">
      <alignment horizontal="center"/>
    </xf>
    <xf numFmtId="15" fontId="0" fillId="2" borderId="22" xfId="0" applyNumberFormat="1" applyFill="1" applyBorder="1" applyAlignment="1">
      <alignment horizontal="center"/>
    </xf>
    <xf numFmtId="49" fontId="1" fillId="3" borderId="11" xfId="0" applyNumberFormat="1" applyFont="1" applyFill="1" applyBorder="1" applyAlignment="1" applyProtection="1">
      <alignment horizontal="center" vertical="center"/>
      <protection locked="0"/>
    </xf>
    <xf numFmtId="49" fontId="1" fillId="3" borderId="3" xfId="0" applyNumberFormat="1" applyFont="1" applyFill="1" applyBorder="1" applyAlignment="1" applyProtection="1">
      <alignment horizontal="center" vertical="center"/>
      <protection locked="0"/>
    </xf>
    <xf numFmtId="20" fontId="1" fillId="4" borderId="11" xfId="0" applyNumberFormat="1" applyFont="1" applyFill="1" applyBorder="1" applyAlignment="1" applyProtection="1">
      <alignment horizontal="center" vertical="center"/>
      <protection locked="0"/>
    </xf>
    <xf numFmtId="20" fontId="1" fillId="4" borderId="3" xfId="0" applyNumberFormat="1" applyFont="1" applyFill="1" applyBorder="1" applyAlignment="1" applyProtection="1">
      <alignment horizontal="center" vertical="center"/>
      <protection locked="0"/>
    </xf>
    <xf numFmtId="49" fontId="1" fillId="4" borderId="11" xfId="0" applyNumberFormat="1" applyFont="1" applyFill="1" applyBorder="1" applyAlignment="1" applyProtection="1">
      <alignment horizontal="center" vertical="center"/>
      <protection locked="0"/>
    </xf>
    <xf numFmtId="49" fontId="1" fillId="4" borderId="3" xfId="0" applyNumberFormat="1" applyFont="1" applyFill="1" applyBorder="1" applyAlignment="1" applyProtection="1">
      <alignment horizontal="center" vertical="center"/>
      <protection locked="0"/>
    </xf>
    <xf numFmtId="49" fontId="1" fillId="4" borderId="32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84A36-8B75-4DF0-A79A-9F1468A7BB9D}">
  <dimension ref="A1:CN58"/>
  <sheetViews>
    <sheetView tabSelected="1" workbookViewId="0">
      <pane xSplit="1" topLeftCell="B1" activePane="topRight" state="frozen"/>
      <selection pane="topRight" activeCell="BU31" sqref="BU31"/>
    </sheetView>
  </sheetViews>
  <sheetFormatPr defaultColWidth="8.88671875" defaultRowHeight="14.4" x14ac:dyDescent="0.3"/>
  <cols>
    <col min="1" max="1" width="10" customWidth="1"/>
    <col min="2" max="9" width="10" style="140" customWidth="1"/>
    <col min="10" max="11" width="8.88671875" style="14"/>
    <col min="12" max="13" width="8.88671875" style="15"/>
    <col min="14" max="15" width="8.88671875" style="14"/>
    <col min="16" max="17" width="8.88671875" style="15"/>
    <col min="18" max="21" width="8.88671875" style="14" customWidth="1"/>
    <col min="22" max="25" width="8.88671875" style="14"/>
    <col min="26" max="33" width="10.44140625" style="14" customWidth="1"/>
    <col min="34" max="37" width="9.109375" style="14" customWidth="1"/>
    <col min="38" max="38" width="10" style="14" bestFit="1" customWidth="1"/>
    <col min="39" max="41" width="8.88671875" style="14"/>
    <col min="42" max="45" width="9.33203125" style="14" customWidth="1"/>
    <col min="46" max="46" width="10" style="14" bestFit="1" customWidth="1"/>
    <col min="47" max="49" width="8.88671875" style="14"/>
    <col min="50" max="50" width="10" style="14" bestFit="1" customWidth="1"/>
    <col min="51" max="53" width="8.88671875" style="14"/>
    <col min="54" max="54" width="10" style="14" bestFit="1" customWidth="1"/>
    <col min="55" max="69" width="8.88671875" style="14"/>
    <col min="70" max="70" width="10" style="14" bestFit="1" customWidth="1"/>
    <col min="71" max="77" width="8.88671875" style="14"/>
    <col min="78" max="78" width="10" style="14" bestFit="1" customWidth="1"/>
    <col min="79" max="81" width="8.88671875" style="14"/>
    <col min="82" max="82" width="10" style="14" bestFit="1" customWidth="1"/>
    <col min="83" max="85" width="8.88671875" style="14"/>
    <col min="86" max="87" width="10" style="14" bestFit="1" customWidth="1"/>
    <col min="88" max="91" width="8.88671875" style="14"/>
    <col min="92" max="92" width="8.88671875" style="94"/>
    <col min="93" max="16384" width="8.88671875" style="6"/>
  </cols>
  <sheetData>
    <row r="1" spans="1:92" ht="15" thickBot="1" x14ac:dyDescent="0.35">
      <c r="A1" s="1" t="s">
        <v>0</v>
      </c>
      <c r="B1" s="185" t="s">
        <v>79</v>
      </c>
      <c r="C1" s="186"/>
      <c r="D1" s="186"/>
      <c r="E1" s="186"/>
      <c r="F1" s="185" t="s">
        <v>108</v>
      </c>
      <c r="G1" s="186"/>
      <c r="H1" s="186"/>
      <c r="I1" s="187"/>
      <c r="J1" s="196" t="s">
        <v>14</v>
      </c>
      <c r="K1" s="196"/>
      <c r="L1" s="196"/>
      <c r="M1" s="197"/>
      <c r="N1" s="195" t="s">
        <v>16</v>
      </c>
      <c r="O1" s="196"/>
      <c r="P1" s="196"/>
      <c r="Q1" s="197"/>
      <c r="R1" s="195" t="s">
        <v>19</v>
      </c>
      <c r="S1" s="196"/>
      <c r="T1" s="196"/>
      <c r="U1" s="197"/>
      <c r="V1" s="195" t="s">
        <v>26</v>
      </c>
      <c r="W1" s="196"/>
      <c r="X1" s="196"/>
      <c r="Y1" s="197"/>
      <c r="Z1" s="195" t="s">
        <v>12</v>
      </c>
      <c r="AA1" s="196"/>
      <c r="AB1" s="196"/>
      <c r="AC1" s="197"/>
      <c r="AD1" s="195" t="s">
        <v>1</v>
      </c>
      <c r="AE1" s="196"/>
      <c r="AF1" s="196"/>
      <c r="AG1" s="197"/>
      <c r="AH1" s="195" t="s">
        <v>9</v>
      </c>
      <c r="AI1" s="196"/>
      <c r="AJ1" s="196"/>
      <c r="AK1" s="197"/>
      <c r="AL1" s="195" t="s">
        <v>17</v>
      </c>
      <c r="AM1" s="196"/>
      <c r="AN1" s="196"/>
      <c r="AO1" s="197"/>
      <c r="AP1" s="195" t="s">
        <v>3</v>
      </c>
      <c r="AQ1" s="196"/>
      <c r="AR1" s="196"/>
      <c r="AS1" s="197"/>
      <c r="AT1" s="195" t="s">
        <v>7</v>
      </c>
      <c r="AU1" s="196"/>
      <c r="AV1" s="196"/>
      <c r="AW1" s="197"/>
      <c r="AX1" s="195" t="s">
        <v>5</v>
      </c>
      <c r="AY1" s="196"/>
      <c r="AZ1" s="196"/>
      <c r="BA1" s="197"/>
      <c r="BB1" s="195" t="s">
        <v>8</v>
      </c>
      <c r="BC1" s="196"/>
      <c r="BD1" s="196"/>
      <c r="BE1" s="197"/>
      <c r="BF1" s="195" t="s">
        <v>4</v>
      </c>
      <c r="BG1" s="196"/>
      <c r="BH1" s="196"/>
      <c r="BI1" s="197"/>
      <c r="BJ1" s="195" t="s">
        <v>6</v>
      </c>
      <c r="BK1" s="196"/>
      <c r="BL1" s="196"/>
      <c r="BM1" s="197"/>
      <c r="BN1" s="195" t="s">
        <v>13</v>
      </c>
      <c r="BO1" s="196"/>
      <c r="BP1" s="196"/>
      <c r="BQ1" s="197"/>
      <c r="BR1" s="195" t="s">
        <v>2</v>
      </c>
      <c r="BS1" s="196"/>
      <c r="BT1" s="196"/>
      <c r="BU1" s="197"/>
      <c r="BV1" s="198" t="s">
        <v>78</v>
      </c>
      <c r="BW1" s="199"/>
      <c r="BX1" s="199"/>
      <c r="BY1" s="200"/>
      <c r="BZ1" s="195" t="s">
        <v>15</v>
      </c>
      <c r="CA1" s="196"/>
      <c r="CB1" s="196"/>
      <c r="CC1" s="197"/>
      <c r="CD1" s="195" t="s">
        <v>18</v>
      </c>
      <c r="CE1" s="196"/>
      <c r="CF1" s="196"/>
      <c r="CG1" s="197"/>
      <c r="CH1" s="195" t="s">
        <v>27</v>
      </c>
      <c r="CI1" s="196"/>
      <c r="CJ1" s="196"/>
      <c r="CK1" s="197"/>
      <c r="CL1" s="5" t="s">
        <v>10</v>
      </c>
      <c r="CM1" s="75" t="s">
        <v>11</v>
      </c>
    </row>
    <row r="2" spans="1:92" ht="15" thickBot="1" x14ac:dyDescent="0.35">
      <c r="A2" s="71" t="s">
        <v>31</v>
      </c>
      <c r="B2" s="121"/>
      <c r="C2" s="121"/>
      <c r="D2" s="117" t="str">
        <f t="shared" ref="D2:D6" si="0">TEXT(C2-B2,"h""h ""mm""m""")</f>
        <v>0h 00m</v>
      </c>
      <c r="E2" s="156"/>
      <c r="F2" s="169"/>
      <c r="G2" s="170"/>
      <c r="H2" s="171" t="str">
        <f t="shared" ref="H2:H30" si="1">TEXT(G2-F2,"h""h ""mm""m""")</f>
        <v>0h 00m</v>
      </c>
      <c r="I2" s="172"/>
      <c r="J2" s="104"/>
      <c r="K2" s="84"/>
      <c r="L2" s="85" t="str">
        <f>TEXT(K2-J2,"h""h ""mm""m""")</f>
        <v>0h 00m</v>
      </c>
      <c r="M2" s="86"/>
      <c r="N2" s="83"/>
      <c r="O2" s="84"/>
      <c r="P2" s="87" t="str">
        <f>TEXT(O2-N2,"h""h ""mm""m""")</f>
        <v>0h 00m</v>
      </c>
      <c r="Q2" s="88"/>
      <c r="R2" s="89"/>
      <c r="S2" s="87"/>
      <c r="T2" s="87" t="str">
        <f>TEXT(S2-R2,"h""h ""mm""m""")</f>
        <v>0h 00m</v>
      </c>
      <c r="U2" s="88"/>
      <c r="V2" s="89"/>
      <c r="W2" s="87"/>
      <c r="X2" s="87" t="str">
        <f>TEXT(W2-V2,"h""h ""mm""m""")</f>
        <v>0h 00m</v>
      </c>
      <c r="Y2" s="88"/>
      <c r="Z2" s="90"/>
      <c r="AA2" s="84"/>
      <c r="AB2" s="87" t="str">
        <f>TEXT(AA2-Z2,"h""h ""mm""m""")</f>
        <v>0h 00m</v>
      </c>
      <c r="AC2" s="88"/>
      <c r="AD2" s="83"/>
      <c r="AE2" s="84"/>
      <c r="AF2" s="87" t="str">
        <f>TEXT(AE2-AD2,"h""h ""mm""m""")</f>
        <v>0h 00m</v>
      </c>
      <c r="AG2" s="88"/>
      <c r="AH2" s="83"/>
      <c r="AI2" s="84"/>
      <c r="AJ2" s="87" t="str">
        <f>TEXT(AI2-AH2,"h""h ""mm""m""")</f>
        <v>0h 00m</v>
      </c>
      <c r="AK2" s="88"/>
      <c r="AL2" s="83"/>
      <c r="AM2" s="84"/>
      <c r="AN2" s="87" t="str">
        <f>TEXT(AM2-AL2,"h""h ""mm""m""")</f>
        <v>0h 00m</v>
      </c>
      <c r="AO2" s="88"/>
      <c r="AP2" s="83"/>
      <c r="AQ2" s="84"/>
      <c r="AR2" s="87" t="str">
        <f>TEXT(AQ2-AP2,"h""h ""mm""m""")</f>
        <v>0h 00m</v>
      </c>
      <c r="AS2" s="88"/>
      <c r="AT2" s="83"/>
      <c r="AU2" s="84"/>
      <c r="AV2" s="87" t="str">
        <f>TEXT(AU2-AT2,"h""h ""mm""m""")</f>
        <v>0h 00m</v>
      </c>
      <c r="AW2" s="88"/>
      <c r="AX2" s="83"/>
      <c r="AY2" s="84"/>
      <c r="AZ2" s="87" t="str">
        <f t="shared" ref="AZ2:AZ5" si="2">TEXT(AY2-AX2,"h""h ""mm""m""")</f>
        <v>0h 00m</v>
      </c>
      <c r="BA2" s="88"/>
      <c r="BB2" s="83"/>
      <c r="BC2" s="84"/>
      <c r="BD2" s="87" t="str">
        <f t="shared" ref="BD2:BD5" si="3">TEXT(BC2-BB2,"h""h ""mm""m""")</f>
        <v>0h 00m</v>
      </c>
      <c r="BE2" s="88"/>
      <c r="BF2" s="83"/>
      <c r="BG2" s="84"/>
      <c r="BH2" s="87" t="str">
        <f t="shared" ref="BH2:BH5" si="4">TEXT(BG2-BF2,"h""h ""mm""m""")</f>
        <v>0h 00m</v>
      </c>
      <c r="BI2" s="88"/>
      <c r="BJ2" s="83"/>
      <c r="BK2" s="84"/>
      <c r="BL2" s="87" t="str">
        <f t="shared" ref="BL2:BL5" si="5">TEXT(BK2-BJ2,"h""h ""mm""m""")</f>
        <v>0h 00m</v>
      </c>
      <c r="BM2" s="88"/>
      <c r="BN2" s="83"/>
      <c r="BO2" s="84"/>
      <c r="BP2" s="87" t="str">
        <f t="shared" ref="BP2:BP5" si="6">TEXT(BO2-BN2,"h""h ""mm""m""")</f>
        <v>0h 00m</v>
      </c>
      <c r="BQ2" s="88"/>
      <c r="BR2" s="83"/>
      <c r="BS2" s="84"/>
      <c r="BT2" s="87" t="str">
        <f t="shared" ref="BT2:BT5" si="7">TEXT(BS2-BR2,"h""h ""mm""m""")</f>
        <v>0h 00m</v>
      </c>
      <c r="BU2" s="100"/>
      <c r="BV2" s="89"/>
      <c r="BW2" s="87"/>
      <c r="BX2" s="87" t="str">
        <f t="shared" ref="BX2:BX30" si="8">TEXT(BW2-BV2,"h""h ""mm""m""")</f>
        <v>0h 00m</v>
      </c>
      <c r="BY2" s="88"/>
      <c r="BZ2" s="104"/>
      <c r="CA2" s="84"/>
      <c r="CB2" s="87" t="str">
        <f t="shared" ref="CB2:CB5" si="9">TEXT(CA2-BZ2,"h""h ""mm""m""")</f>
        <v>0h 00m</v>
      </c>
      <c r="CC2" s="88"/>
      <c r="CD2" s="82"/>
      <c r="CE2" s="87"/>
      <c r="CF2" s="87" t="str">
        <f t="shared" ref="CF2:CF5" si="10">TEXT(CE2-CD2,"h""h ""mm""m""")</f>
        <v>0h 00m</v>
      </c>
      <c r="CG2" s="88"/>
      <c r="CH2" s="83"/>
      <c r="CI2" s="84"/>
      <c r="CJ2" s="87" t="str">
        <f t="shared" ref="CJ2:CJ5" si="11">TEXT(CI2-CH2,"h""h ""mm""m""")</f>
        <v>0h 00m</v>
      </c>
      <c r="CK2" s="88"/>
      <c r="CL2" s="91"/>
      <c r="CM2" s="92"/>
      <c r="CN2" s="95"/>
    </row>
    <row r="3" spans="1:92" ht="15" thickBot="1" x14ac:dyDescent="0.35">
      <c r="A3" s="71" t="s">
        <v>32</v>
      </c>
      <c r="B3" s="122"/>
      <c r="C3" s="123"/>
      <c r="D3" s="118" t="str">
        <f t="shared" si="0"/>
        <v>0h 00m</v>
      </c>
      <c r="E3" s="157"/>
      <c r="F3" s="165"/>
      <c r="G3" s="164"/>
      <c r="H3" s="41" t="str">
        <f t="shared" si="1"/>
        <v>0h 00m</v>
      </c>
      <c r="I3" s="166"/>
      <c r="J3" s="105">
        <v>0.30208333333333331</v>
      </c>
      <c r="K3" s="10">
        <v>0.69930555555555551</v>
      </c>
      <c r="L3" s="8" t="str">
        <f t="shared" ref="L3:L32" si="12">TEXT(K3-J3,"h""h ""mm""m""")</f>
        <v>9h 32m</v>
      </c>
      <c r="M3" s="20"/>
      <c r="N3" s="97" t="s">
        <v>74</v>
      </c>
      <c r="O3" s="98" t="s">
        <v>75</v>
      </c>
      <c r="P3" s="9" t="str">
        <f>$P$4</f>
        <v>0h 00m</v>
      </c>
      <c r="Q3" s="21" t="s">
        <v>64</v>
      </c>
      <c r="R3" s="19"/>
      <c r="S3" s="10"/>
      <c r="T3" s="9" t="str">
        <f t="shared" ref="T3:T32" si="13">TEXT(S3-R3,"h""h ""mm""m""")</f>
        <v>0h 00m</v>
      </c>
      <c r="U3" s="21"/>
      <c r="V3" s="23">
        <v>0.2986111111111111</v>
      </c>
      <c r="W3" s="7">
        <v>0.6875</v>
      </c>
      <c r="X3" s="9" t="str">
        <f t="shared" ref="X3:X32" si="14">TEXT(W3-V3,"h""h ""mm""m""")</f>
        <v>9h 20m</v>
      </c>
      <c r="Y3" s="21"/>
      <c r="Z3" s="93" t="s">
        <v>76</v>
      </c>
      <c r="AA3" s="99" t="s">
        <v>75</v>
      </c>
      <c r="AB3" s="9" t="str">
        <f>$P$4</f>
        <v>0h 00m</v>
      </c>
      <c r="AC3" s="21" t="s">
        <v>77</v>
      </c>
      <c r="AD3" s="93" t="s">
        <v>76</v>
      </c>
      <c r="AE3" s="99" t="s">
        <v>75</v>
      </c>
      <c r="AF3" s="9" t="str">
        <f>$P$4</f>
        <v>0h 00m</v>
      </c>
      <c r="AG3" s="21" t="s">
        <v>63</v>
      </c>
      <c r="AH3" s="93" t="s">
        <v>76</v>
      </c>
      <c r="AI3" s="99" t="s">
        <v>75</v>
      </c>
      <c r="AJ3" s="9" t="str">
        <f>$P$4</f>
        <v>0h 00m</v>
      </c>
      <c r="AK3" s="21" t="s">
        <v>71</v>
      </c>
      <c r="AL3" s="19">
        <v>0.2951388888888889</v>
      </c>
      <c r="AM3" s="10">
        <v>0.68055555555555558</v>
      </c>
      <c r="AN3" s="9" t="str">
        <f t="shared" ref="AN3:AN32" si="15">TEXT(AM3-AL3,"h""h ""mm""m""")</f>
        <v>9h 15m</v>
      </c>
      <c r="AO3" s="21"/>
      <c r="AP3" s="19">
        <v>0.29166666666666669</v>
      </c>
      <c r="AQ3" s="10">
        <v>0.68402777777777779</v>
      </c>
      <c r="AR3" s="9" t="str">
        <f t="shared" ref="AR3:AR32" si="16">TEXT(AQ3-AP3,"h""h ""mm""m""")</f>
        <v>9h 25m</v>
      </c>
      <c r="AS3" s="21"/>
      <c r="AT3" s="93" t="s">
        <v>76</v>
      </c>
      <c r="AU3" s="99" t="s">
        <v>75</v>
      </c>
      <c r="AV3" s="9" t="str">
        <f>$P$4</f>
        <v>0h 00m</v>
      </c>
      <c r="AW3" s="21" t="s">
        <v>69</v>
      </c>
      <c r="AX3" s="93" t="s">
        <v>76</v>
      </c>
      <c r="AY3" s="99" t="s">
        <v>75</v>
      </c>
      <c r="AZ3" s="9" t="str">
        <f>$P$4</f>
        <v>0h 00m</v>
      </c>
      <c r="BA3" s="21" t="s">
        <v>65</v>
      </c>
      <c r="BB3" s="93" t="s">
        <v>76</v>
      </c>
      <c r="BC3" s="99" t="s">
        <v>75</v>
      </c>
      <c r="BD3" s="9" t="str">
        <f>$P$4</f>
        <v>0h 00m</v>
      </c>
      <c r="BE3" s="21" t="s">
        <v>68</v>
      </c>
      <c r="BF3" s="93" t="s">
        <v>76</v>
      </c>
      <c r="BG3" s="99" t="s">
        <v>75</v>
      </c>
      <c r="BH3" s="9" t="str">
        <f>$P$4</f>
        <v>0h 00m</v>
      </c>
      <c r="BI3" s="21" t="s">
        <v>70</v>
      </c>
      <c r="BJ3" s="93" t="s">
        <v>76</v>
      </c>
      <c r="BK3" s="99" t="s">
        <v>75</v>
      </c>
      <c r="BL3" s="9" t="str">
        <f>$P$4</f>
        <v>0h 00m</v>
      </c>
      <c r="BM3" s="21" t="s">
        <v>67</v>
      </c>
      <c r="BN3" s="93" t="s">
        <v>76</v>
      </c>
      <c r="BO3" s="99" t="s">
        <v>75</v>
      </c>
      <c r="BP3" s="9" t="str">
        <f>$P$4</f>
        <v>0h 00m</v>
      </c>
      <c r="BQ3" s="21" t="s">
        <v>72</v>
      </c>
      <c r="BR3" s="93" t="s">
        <v>76</v>
      </c>
      <c r="BS3" s="99" t="s">
        <v>75</v>
      </c>
      <c r="BT3" s="9" t="str">
        <f>$P$4</f>
        <v>0h 00m</v>
      </c>
      <c r="BU3" s="101" t="s">
        <v>66</v>
      </c>
      <c r="BV3" s="19">
        <v>0.2673611111111111</v>
      </c>
      <c r="BW3" s="10">
        <v>0.67708333333333337</v>
      </c>
      <c r="BX3" s="11" t="str">
        <f t="shared" si="8"/>
        <v>9h 50m</v>
      </c>
      <c r="BY3" s="45"/>
      <c r="BZ3" s="105">
        <v>0.28819444444444442</v>
      </c>
      <c r="CA3" s="10">
        <v>0.6875</v>
      </c>
      <c r="CB3" s="9" t="str">
        <f t="shared" si="9"/>
        <v>9h 35m</v>
      </c>
      <c r="CC3" s="21"/>
      <c r="CD3" s="19"/>
      <c r="CE3" s="10"/>
      <c r="CF3" s="9" t="str">
        <f t="shared" si="10"/>
        <v>0h 00m</v>
      </c>
      <c r="CG3" s="21"/>
      <c r="CH3" s="93" t="s">
        <v>76</v>
      </c>
      <c r="CI3" s="99" t="s">
        <v>75</v>
      </c>
      <c r="CJ3" s="9" t="str">
        <f>$P$4</f>
        <v>0h 00m</v>
      </c>
      <c r="CK3" s="21" t="s">
        <v>62</v>
      </c>
      <c r="CL3" s="42"/>
      <c r="CM3" s="76"/>
      <c r="CN3" s="95"/>
    </row>
    <row r="4" spans="1:92" s="29" customFormat="1" ht="15" thickBot="1" x14ac:dyDescent="0.35">
      <c r="A4" s="71" t="s">
        <v>33</v>
      </c>
      <c r="B4" s="124"/>
      <c r="C4" s="125"/>
      <c r="D4" s="49" t="str">
        <f t="shared" si="0"/>
        <v>0h 00m</v>
      </c>
      <c r="E4" s="158"/>
      <c r="F4" s="124"/>
      <c r="G4" s="125"/>
      <c r="H4" s="168" t="str">
        <f t="shared" si="1"/>
        <v>0h 00m</v>
      </c>
      <c r="I4" s="126"/>
      <c r="J4" s="106"/>
      <c r="K4" s="48"/>
      <c r="L4" s="49" t="str">
        <f t="shared" si="12"/>
        <v>0h 00m</v>
      </c>
      <c r="M4" s="50"/>
      <c r="N4" s="47"/>
      <c r="O4" s="48"/>
      <c r="P4" s="51" t="str">
        <f t="shared" ref="P4:P32" si="17">TEXT(O4-N4,"h""h ""mm""m""")</f>
        <v>0h 00m</v>
      </c>
      <c r="Q4" s="52"/>
      <c r="R4" s="47"/>
      <c r="S4" s="53"/>
      <c r="T4" s="51" t="str">
        <f t="shared" si="13"/>
        <v>0h 00m</v>
      </c>
      <c r="U4" s="52"/>
      <c r="V4" s="54"/>
      <c r="W4" s="51"/>
      <c r="X4" s="51" t="str">
        <f t="shared" si="14"/>
        <v>0h 00m</v>
      </c>
      <c r="Y4" s="52"/>
      <c r="Z4" s="55"/>
      <c r="AA4" s="48"/>
      <c r="AB4" s="51" t="str">
        <f t="shared" ref="AB4:AB32" si="18">TEXT(AA4-Z4,"h""h ""mm""m""")</f>
        <v>0h 00m</v>
      </c>
      <c r="AC4" s="52"/>
      <c r="AD4" s="47"/>
      <c r="AE4" s="48"/>
      <c r="AF4" s="51" t="str">
        <f t="shared" ref="AF4:AF32" si="19">TEXT(AE4-AD4,"h""h ""mm""m""")</f>
        <v>0h 00m</v>
      </c>
      <c r="AG4" s="52"/>
      <c r="AH4" s="47"/>
      <c r="AI4" s="48"/>
      <c r="AJ4" s="51" t="str">
        <f t="shared" ref="AJ4:AJ32" si="20">TEXT(AI4-AH4,"h""h ""mm""m""")</f>
        <v>0h 00m</v>
      </c>
      <c r="AK4" s="52"/>
      <c r="AL4" s="47"/>
      <c r="AM4" s="48"/>
      <c r="AN4" s="51" t="str">
        <f t="shared" si="15"/>
        <v>0h 00m</v>
      </c>
      <c r="AO4" s="52"/>
      <c r="AP4" s="47"/>
      <c r="AQ4" s="48"/>
      <c r="AR4" s="51" t="str">
        <f t="shared" si="16"/>
        <v>0h 00m</v>
      </c>
      <c r="AS4" s="52"/>
      <c r="AT4" s="47"/>
      <c r="AU4" s="48"/>
      <c r="AV4" s="51" t="str">
        <f t="shared" ref="AV4:AV32" si="21">TEXT(AU4-AT4,"h""h ""mm""m""")</f>
        <v>0h 00m</v>
      </c>
      <c r="AW4" s="52"/>
      <c r="AX4" s="47"/>
      <c r="AY4" s="48"/>
      <c r="AZ4" s="51" t="str">
        <f t="shared" si="2"/>
        <v>0h 00m</v>
      </c>
      <c r="BA4" s="52"/>
      <c r="BB4" s="47"/>
      <c r="BC4" s="48"/>
      <c r="BD4" s="51" t="str">
        <f t="shared" si="3"/>
        <v>0h 00m</v>
      </c>
      <c r="BE4" s="52"/>
      <c r="BF4" s="56"/>
      <c r="BG4" s="48"/>
      <c r="BH4" s="51" t="str">
        <f t="shared" si="4"/>
        <v>0h 00m</v>
      </c>
      <c r="BI4" s="52"/>
      <c r="BJ4" s="56"/>
      <c r="BK4" s="48"/>
      <c r="BL4" s="51" t="str">
        <f t="shared" si="5"/>
        <v>0h 00m</v>
      </c>
      <c r="BM4" s="52"/>
      <c r="BN4" s="47"/>
      <c r="BO4" s="48"/>
      <c r="BP4" s="51" t="str">
        <f t="shared" si="6"/>
        <v>0h 00m</v>
      </c>
      <c r="BQ4" s="52"/>
      <c r="BR4" s="47"/>
      <c r="BS4" s="48"/>
      <c r="BT4" s="51" t="str">
        <f t="shared" si="7"/>
        <v>0h 00m</v>
      </c>
      <c r="BU4" s="102"/>
      <c r="BV4" s="57"/>
      <c r="BW4" s="58"/>
      <c r="BX4" s="58" t="str">
        <f t="shared" si="8"/>
        <v>0h 00m</v>
      </c>
      <c r="BY4" s="108"/>
      <c r="BZ4" s="106"/>
      <c r="CA4" s="48"/>
      <c r="CB4" s="51" t="str">
        <f t="shared" si="9"/>
        <v>0h 00m</v>
      </c>
      <c r="CC4" s="52"/>
      <c r="CD4" s="57"/>
      <c r="CE4" s="58"/>
      <c r="CF4" s="51" t="str">
        <f t="shared" si="10"/>
        <v>0h 00m</v>
      </c>
      <c r="CG4" s="52"/>
      <c r="CH4" s="47"/>
      <c r="CI4" s="48"/>
      <c r="CJ4" s="51" t="str">
        <f t="shared" si="11"/>
        <v>0h 00m</v>
      </c>
      <c r="CK4" s="52"/>
      <c r="CL4" s="72"/>
      <c r="CM4" s="77"/>
      <c r="CN4" s="96"/>
    </row>
    <row r="5" spans="1:92" s="29" customFormat="1" ht="15" thickBot="1" x14ac:dyDescent="0.35">
      <c r="A5" s="2" t="s">
        <v>34</v>
      </c>
      <c r="B5" s="127"/>
      <c r="C5" s="128"/>
      <c r="D5" s="49" t="str">
        <f t="shared" si="0"/>
        <v>0h 00m</v>
      </c>
      <c r="E5" s="159"/>
      <c r="F5" s="127"/>
      <c r="G5" s="128"/>
      <c r="H5" s="168" t="str">
        <f t="shared" si="1"/>
        <v>0h 00m</v>
      </c>
      <c r="I5" s="129"/>
      <c r="J5" s="106"/>
      <c r="K5" s="48"/>
      <c r="L5" s="49" t="str">
        <f t="shared" si="12"/>
        <v>0h 00m</v>
      </c>
      <c r="M5" s="50"/>
      <c r="N5" s="47"/>
      <c r="O5" s="48"/>
      <c r="P5" s="51" t="str">
        <f t="shared" si="17"/>
        <v>0h 00m</v>
      </c>
      <c r="Q5" s="52"/>
      <c r="R5" s="47"/>
      <c r="S5" s="48"/>
      <c r="T5" s="51" t="str">
        <f t="shared" si="13"/>
        <v>0h 00m</v>
      </c>
      <c r="U5" s="52"/>
      <c r="V5" s="54"/>
      <c r="W5" s="51"/>
      <c r="X5" s="51" t="str">
        <f t="shared" si="14"/>
        <v>0h 00m</v>
      </c>
      <c r="Y5" s="52"/>
      <c r="Z5" s="47"/>
      <c r="AA5" s="48"/>
      <c r="AB5" s="51" t="str">
        <f t="shared" si="18"/>
        <v>0h 00m</v>
      </c>
      <c r="AC5" s="52"/>
      <c r="AD5" s="47"/>
      <c r="AE5" s="48"/>
      <c r="AF5" s="51" t="str">
        <f t="shared" si="19"/>
        <v>0h 00m</v>
      </c>
      <c r="AG5" s="52"/>
      <c r="AH5" s="59"/>
      <c r="AI5" s="60"/>
      <c r="AJ5" s="51" t="str">
        <f t="shared" si="20"/>
        <v>0h 00m</v>
      </c>
      <c r="AK5" s="52"/>
      <c r="AL5" s="47"/>
      <c r="AM5" s="48"/>
      <c r="AN5" s="51" t="str">
        <f t="shared" si="15"/>
        <v>0h 00m</v>
      </c>
      <c r="AO5" s="52"/>
      <c r="AP5" s="47"/>
      <c r="AQ5" s="48"/>
      <c r="AR5" s="51" t="str">
        <f t="shared" si="16"/>
        <v>0h 00m</v>
      </c>
      <c r="AS5" s="52"/>
      <c r="AT5" s="47"/>
      <c r="AU5" s="48"/>
      <c r="AV5" s="51" t="str">
        <f t="shared" si="21"/>
        <v>0h 00m</v>
      </c>
      <c r="AW5" s="52"/>
      <c r="AX5" s="47"/>
      <c r="AY5" s="48"/>
      <c r="AZ5" s="51" t="str">
        <f t="shared" si="2"/>
        <v>0h 00m</v>
      </c>
      <c r="BA5" s="52"/>
      <c r="BB5" s="47"/>
      <c r="BC5" s="48"/>
      <c r="BD5" s="51" t="str">
        <f t="shared" si="3"/>
        <v>0h 00m</v>
      </c>
      <c r="BE5" s="52"/>
      <c r="BF5" s="47"/>
      <c r="BG5" s="48"/>
      <c r="BH5" s="51" t="str">
        <f t="shared" si="4"/>
        <v>0h 00m</v>
      </c>
      <c r="BI5" s="52"/>
      <c r="BJ5" s="47"/>
      <c r="BK5" s="48"/>
      <c r="BL5" s="51" t="str">
        <f t="shared" si="5"/>
        <v>0h 00m</v>
      </c>
      <c r="BM5" s="52"/>
      <c r="BN5" s="47"/>
      <c r="BO5" s="48"/>
      <c r="BP5" s="51" t="str">
        <f t="shared" si="6"/>
        <v>0h 00m</v>
      </c>
      <c r="BQ5" s="52"/>
      <c r="BR5" s="47"/>
      <c r="BS5" s="48"/>
      <c r="BT5" s="51" t="str">
        <f t="shared" si="7"/>
        <v>0h 00m</v>
      </c>
      <c r="BU5" s="102"/>
      <c r="BV5" s="57"/>
      <c r="BW5" s="58"/>
      <c r="BX5" s="58" t="str">
        <f t="shared" si="8"/>
        <v>0h 00m</v>
      </c>
      <c r="BY5" s="108"/>
      <c r="BZ5" s="106"/>
      <c r="CA5" s="48"/>
      <c r="CB5" s="51" t="str">
        <f t="shared" si="9"/>
        <v>0h 00m</v>
      </c>
      <c r="CC5" s="52"/>
      <c r="CD5" s="47"/>
      <c r="CE5" s="48"/>
      <c r="CF5" s="51" t="str">
        <f t="shared" si="10"/>
        <v>0h 00m</v>
      </c>
      <c r="CG5" s="52"/>
      <c r="CH5" s="47"/>
      <c r="CI5" s="48"/>
      <c r="CJ5" s="51" t="str">
        <f t="shared" si="11"/>
        <v>0h 00m</v>
      </c>
      <c r="CK5" s="52"/>
      <c r="CL5" s="72"/>
      <c r="CM5" s="77"/>
      <c r="CN5" s="96"/>
    </row>
    <row r="6" spans="1:92" ht="15" thickBot="1" x14ac:dyDescent="0.35">
      <c r="A6" s="2" t="s">
        <v>35</v>
      </c>
      <c r="B6" s="130">
        <v>0.30208333333333331</v>
      </c>
      <c r="C6" s="142">
        <v>0.6875</v>
      </c>
      <c r="D6" s="8" t="str">
        <f t="shared" si="0"/>
        <v>9h 15m</v>
      </c>
      <c r="E6" s="160"/>
      <c r="F6" s="133"/>
      <c r="G6" s="131"/>
      <c r="H6" s="41" t="str">
        <f t="shared" si="1"/>
        <v>0h 00m</v>
      </c>
      <c r="I6" s="132"/>
      <c r="J6" s="105">
        <v>0.30416666666666664</v>
      </c>
      <c r="K6" s="10">
        <v>0.69930555555555551</v>
      </c>
      <c r="L6" s="8" t="str">
        <f t="shared" si="12"/>
        <v>9h 29m</v>
      </c>
      <c r="M6" s="20"/>
      <c r="N6" s="97" t="s">
        <v>74</v>
      </c>
      <c r="O6" s="98" t="s">
        <v>75</v>
      </c>
      <c r="P6" s="9" t="str">
        <f>$P$4</f>
        <v>0h 00m</v>
      </c>
      <c r="Q6" s="21" t="s">
        <v>64</v>
      </c>
      <c r="R6" s="19"/>
      <c r="S6" s="10"/>
      <c r="T6" s="9" t="str">
        <f t="shared" si="13"/>
        <v>0h 00m</v>
      </c>
      <c r="U6" s="21"/>
      <c r="V6" s="23">
        <v>0.29791666666666666</v>
      </c>
      <c r="W6" s="7">
        <v>0.67777777777777781</v>
      </c>
      <c r="X6" s="9" t="str">
        <f t="shared" si="14"/>
        <v>9h 07m</v>
      </c>
      <c r="Y6" s="21"/>
      <c r="Z6" s="19">
        <v>0.27986111111111112</v>
      </c>
      <c r="AA6" s="10">
        <v>0.6875</v>
      </c>
      <c r="AB6" s="9" t="str">
        <f t="shared" si="18"/>
        <v>9h 47m</v>
      </c>
      <c r="AC6" s="21"/>
      <c r="AD6" s="19">
        <v>0.29236111111111113</v>
      </c>
      <c r="AE6" s="10">
        <v>0.68194444444444446</v>
      </c>
      <c r="AF6" s="9" t="str">
        <f t="shared" si="19"/>
        <v>9h 21m</v>
      </c>
      <c r="AG6" s="21"/>
      <c r="AH6" s="93" t="s">
        <v>76</v>
      </c>
      <c r="AI6" s="99" t="s">
        <v>75</v>
      </c>
      <c r="AJ6" s="9" t="str">
        <f>$P$4</f>
        <v>0h 00m</v>
      </c>
      <c r="AK6" s="21" t="s">
        <v>71</v>
      </c>
      <c r="AL6" s="19">
        <v>0.29375000000000001</v>
      </c>
      <c r="AM6" s="10">
        <v>0.68055555555555558</v>
      </c>
      <c r="AN6" s="9" t="str">
        <f t="shared" si="15"/>
        <v>9h 17m</v>
      </c>
      <c r="AO6" s="21"/>
      <c r="AP6" s="19">
        <v>0.28749999999999998</v>
      </c>
      <c r="AQ6" s="10">
        <v>0.68055555555555558</v>
      </c>
      <c r="AR6" s="9" t="str">
        <f t="shared" si="16"/>
        <v>9h 26m</v>
      </c>
      <c r="AS6" s="21"/>
      <c r="AT6" s="19">
        <v>0.29166666666666669</v>
      </c>
      <c r="AU6" s="10">
        <v>0.68055555555555558</v>
      </c>
      <c r="AV6" s="9" t="str">
        <f t="shared" si="21"/>
        <v>9h 20m</v>
      </c>
      <c r="AW6" s="21"/>
      <c r="AX6" s="23">
        <v>0.29305555555555557</v>
      </c>
      <c r="AY6" s="7">
        <v>0.68541666666666667</v>
      </c>
      <c r="AZ6" s="9" t="str">
        <f t="shared" ref="AZ6:AZ32" si="22">TEXT(AY6-AX6,"h""h ""mm""m""")</f>
        <v>9h 25m</v>
      </c>
      <c r="BA6" s="21"/>
      <c r="BB6" s="93" t="s">
        <v>76</v>
      </c>
      <c r="BC6" s="99" t="s">
        <v>75</v>
      </c>
      <c r="BD6" s="9" t="str">
        <f>$P$4</f>
        <v>0h 00m</v>
      </c>
      <c r="BE6" s="21" t="s">
        <v>68</v>
      </c>
      <c r="BF6" s="93" t="s">
        <v>76</v>
      </c>
      <c r="BG6" s="99" t="s">
        <v>75</v>
      </c>
      <c r="BH6" s="9" t="str">
        <f>$P$4</f>
        <v>0h 00m</v>
      </c>
      <c r="BI6" s="21" t="s">
        <v>70</v>
      </c>
      <c r="BJ6" s="93" t="s">
        <v>76</v>
      </c>
      <c r="BK6" s="99" t="s">
        <v>75</v>
      </c>
      <c r="BL6" s="9" t="str">
        <f>$P$4</f>
        <v>0h 00m</v>
      </c>
      <c r="BM6" s="21" t="s">
        <v>67</v>
      </c>
      <c r="BN6" s="93" t="s">
        <v>76</v>
      </c>
      <c r="BO6" s="99" t="s">
        <v>75</v>
      </c>
      <c r="BP6" s="9" t="str">
        <f>$P$4</f>
        <v>0h 00m</v>
      </c>
      <c r="BQ6" s="21" t="s">
        <v>72</v>
      </c>
      <c r="BR6" s="93" t="s">
        <v>76</v>
      </c>
      <c r="BS6" s="99" t="s">
        <v>75</v>
      </c>
      <c r="BT6" s="9" t="str">
        <f>$P$4</f>
        <v>0h 00m</v>
      </c>
      <c r="BU6" s="101" t="s">
        <v>66</v>
      </c>
      <c r="BV6" s="19">
        <v>0.27083333333333331</v>
      </c>
      <c r="BW6" s="10">
        <v>0.67708333333333337</v>
      </c>
      <c r="BX6" s="11" t="str">
        <f t="shared" si="8"/>
        <v>9h 45m</v>
      </c>
      <c r="BY6" s="45"/>
      <c r="BZ6" s="107">
        <v>0.28819444444444442</v>
      </c>
      <c r="CA6" s="7">
        <v>0.68055555555555558</v>
      </c>
      <c r="CB6" s="9" t="str">
        <f t="shared" ref="CB6:CB32" si="23">TEXT(CA6-BZ6,"h""h ""mm""m""")</f>
        <v>9h 25m</v>
      </c>
      <c r="CC6" s="21"/>
      <c r="CD6" s="22"/>
      <c r="CE6" s="9"/>
      <c r="CF6" s="9" t="str">
        <f t="shared" ref="CF6:CF32" si="24">TEXT(CE6-CD6,"h""h ""mm""m""")</f>
        <v>0h 00m</v>
      </c>
      <c r="CG6" s="21"/>
      <c r="CH6" s="93" t="s">
        <v>76</v>
      </c>
      <c r="CI6" s="99" t="s">
        <v>75</v>
      </c>
      <c r="CJ6" s="9" t="str">
        <f>$P$4</f>
        <v>0h 00m</v>
      </c>
      <c r="CK6" s="21" t="s">
        <v>62</v>
      </c>
      <c r="CL6" s="42"/>
      <c r="CM6" s="76"/>
      <c r="CN6" s="95"/>
    </row>
    <row r="7" spans="1:92" s="29" customFormat="1" ht="15" thickBot="1" x14ac:dyDescent="0.35">
      <c r="A7" s="2" t="s">
        <v>36</v>
      </c>
      <c r="B7" s="97" t="s">
        <v>74</v>
      </c>
      <c r="C7" s="98" t="s">
        <v>75</v>
      </c>
      <c r="D7" s="8" t="str">
        <f>$P$4</f>
        <v>0h 00m</v>
      </c>
      <c r="E7" s="161" t="s">
        <v>95</v>
      </c>
      <c r="F7" s="167"/>
      <c r="G7" s="41"/>
      <c r="H7" s="41" t="str">
        <f t="shared" si="1"/>
        <v>0h 00m</v>
      </c>
      <c r="I7" s="46"/>
      <c r="J7" s="143" t="s">
        <v>80</v>
      </c>
      <c r="K7" s="144" t="s">
        <v>81</v>
      </c>
      <c r="L7" s="8" t="str">
        <f t="shared" si="12"/>
        <v>9h 11m</v>
      </c>
      <c r="M7" s="20"/>
      <c r="N7" s="97" t="s">
        <v>74</v>
      </c>
      <c r="O7" s="98" t="s">
        <v>75</v>
      </c>
      <c r="P7" s="9" t="str">
        <f>$P$4</f>
        <v>0h 00m</v>
      </c>
      <c r="Q7" s="21" t="s">
        <v>64</v>
      </c>
      <c r="R7" s="27"/>
      <c r="S7" s="28"/>
      <c r="T7" s="9" t="str">
        <f t="shared" si="13"/>
        <v>0h 00m</v>
      </c>
      <c r="U7" s="21"/>
      <c r="V7" s="23">
        <v>0.2986111111111111</v>
      </c>
      <c r="W7" s="7">
        <v>0.6791666666666667</v>
      </c>
      <c r="X7" s="9" t="str">
        <f t="shared" si="14"/>
        <v>9h 08m</v>
      </c>
      <c r="Y7" s="21"/>
      <c r="Z7" s="113">
        <v>0.28125</v>
      </c>
      <c r="AA7" s="115">
        <v>0.68402777777777779</v>
      </c>
      <c r="AB7" s="9" t="str">
        <f t="shared" si="18"/>
        <v>9h 40m</v>
      </c>
      <c r="AC7" s="21"/>
      <c r="AD7" s="113">
        <v>0.29305555555555557</v>
      </c>
      <c r="AE7" s="115">
        <v>0.68125000000000002</v>
      </c>
      <c r="AF7" s="9" t="str">
        <f t="shared" si="19"/>
        <v>9h 19m</v>
      </c>
      <c r="AG7" s="21"/>
      <c r="AH7" s="93" t="s">
        <v>76</v>
      </c>
      <c r="AI7" s="99" t="s">
        <v>75</v>
      </c>
      <c r="AJ7" s="9" t="str">
        <f>$P$4</f>
        <v>0h 00m</v>
      </c>
      <c r="AK7" s="21" t="s">
        <v>71</v>
      </c>
      <c r="AL7" s="113">
        <v>0.29305555555555557</v>
      </c>
      <c r="AM7" s="115">
        <v>0.68055555555555558</v>
      </c>
      <c r="AN7" s="9" t="str">
        <f t="shared" si="15"/>
        <v>9h 18m</v>
      </c>
      <c r="AO7" s="21"/>
      <c r="AP7" s="113">
        <v>0.28125</v>
      </c>
      <c r="AQ7" s="115">
        <v>0.68402777777777779</v>
      </c>
      <c r="AR7" s="9" t="str">
        <f t="shared" si="16"/>
        <v>9h 40m</v>
      </c>
      <c r="AS7" s="21"/>
      <c r="AT7" s="113">
        <v>0.29166666666666669</v>
      </c>
      <c r="AU7" s="115">
        <v>0.67847222222222225</v>
      </c>
      <c r="AV7" s="9" t="str">
        <f t="shared" si="21"/>
        <v>9h 17m</v>
      </c>
      <c r="AW7" s="21"/>
      <c r="AX7" s="113">
        <v>0.29791666666666666</v>
      </c>
      <c r="AY7" s="115">
        <v>0.6791666666666667</v>
      </c>
      <c r="AZ7" s="9" t="str">
        <f t="shared" si="22"/>
        <v>9h 09m</v>
      </c>
      <c r="BA7" s="21"/>
      <c r="BB7" s="93" t="s">
        <v>76</v>
      </c>
      <c r="BC7" s="99" t="s">
        <v>75</v>
      </c>
      <c r="BD7" s="9" t="str">
        <f>$P$4</f>
        <v>0h 00m</v>
      </c>
      <c r="BE7" s="21" t="s">
        <v>68</v>
      </c>
      <c r="BF7" s="93" t="s">
        <v>76</v>
      </c>
      <c r="BG7" s="99" t="s">
        <v>75</v>
      </c>
      <c r="BH7" s="9" t="str">
        <f>$P$4</f>
        <v>0h 00m</v>
      </c>
      <c r="BI7" s="21" t="s">
        <v>70</v>
      </c>
      <c r="BJ7" s="93" t="s">
        <v>76</v>
      </c>
      <c r="BK7" s="99" t="s">
        <v>75</v>
      </c>
      <c r="BL7" s="9" t="str">
        <f>$P$4</f>
        <v>0h 00m</v>
      </c>
      <c r="BM7" s="21" t="s">
        <v>67</v>
      </c>
      <c r="BN7" s="93" t="s">
        <v>76</v>
      </c>
      <c r="BO7" s="99" t="s">
        <v>75</v>
      </c>
      <c r="BP7" s="9" t="str">
        <f>$P$4</f>
        <v>0h 00m</v>
      </c>
      <c r="BQ7" s="21" t="s">
        <v>72</v>
      </c>
      <c r="BR7" s="93" t="s">
        <v>76</v>
      </c>
      <c r="BS7" s="99" t="s">
        <v>75</v>
      </c>
      <c r="BT7" s="9" t="str">
        <f>$P$4</f>
        <v>0h 00m</v>
      </c>
      <c r="BU7" s="101" t="s">
        <v>66</v>
      </c>
      <c r="BV7" s="19">
        <v>0.27777777777777779</v>
      </c>
      <c r="BW7" s="10">
        <v>0.67708333333333337</v>
      </c>
      <c r="BX7" s="11" t="str">
        <f t="shared" si="8"/>
        <v>9h 35m</v>
      </c>
      <c r="BY7" s="45"/>
      <c r="BZ7" s="114">
        <v>0.28819444444444442</v>
      </c>
      <c r="CA7" s="115">
        <v>0.68055555555555558</v>
      </c>
      <c r="CB7" s="9" t="str">
        <f t="shared" si="23"/>
        <v>9h 25m</v>
      </c>
      <c r="CC7" s="21"/>
      <c r="CD7" s="93" t="s">
        <v>76</v>
      </c>
      <c r="CE7" s="99" t="s">
        <v>75</v>
      </c>
      <c r="CF7" s="9" t="str">
        <f>$P$4</f>
        <v>0h 00m</v>
      </c>
      <c r="CG7" s="21" t="s">
        <v>73</v>
      </c>
      <c r="CH7" s="93" t="s">
        <v>76</v>
      </c>
      <c r="CI7" s="99" t="s">
        <v>75</v>
      </c>
      <c r="CJ7" s="9" t="str">
        <f>$P$4</f>
        <v>0h 00m</v>
      </c>
      <c r="CK7" s="21" t="s">
        <v>62</v>
      </c>
      <c r="CL7" s="43"/>
      <c r="CM7" s="78"/>
      <c r="CN7" s="96"/>
    </row>
    <row r="8" spans="1:92" s="29" customFormat="1" ht="15" thickBot="1" x14ac:dyDescent="0.35">
      <c r="A8" s="2" t="s">
        <v>37</v>
      </c>
      <c r="B8" s="130">
        <v>0.30069444444444443</v>
      </c>
      <c r="C8" s="142">
        <v>0.69027777777777777</v>
      </c>
      <c r="D8" s="8" t="str">
        <f t="shared" ref="D8:D32" si="25">TEXT(C8-B8,"h""h ""mm""m""")</f>
        <v>9h 21m</v>
      </c>
      <c r="E8" s="160"/>
      <c r="F8" s="133"/>
      <c r="G8" s="131"/>
      <c r="H8" s="41" t="str">
        <f t="shared" si="1"/>
        <v>0h 00m</v>
      </c>
      <c r="I8" s="132"/>
      <c r="J8" s="145" t="s">
        <v>82</v>
      </c>
      <c r="K8" s="146" t="s">
        <v>83</v>
      </c>
      <c r="L8" s="8" t="str">
        <f t="shared" si="12"/>
        <v>8h 49m</v>
      </c>
      <c r="M8" s="20"/>
      <c r="N8" s="113">
        <v>0.26458333333333334</v>
      </c>
      <c r="O8" s="115">
        <v>0.68263888888888891</v>
      </c>
      <c r="P8" s="9" t="str">
        <f t="shared" si="17"/>
        <v>10h 02m</v>
      </c>
      <c r="Q8" s="21"/>
      <c r="R8" s="27"/>
      <c r="S8" s="28"/>
      <c r="T8" s="9" t="str">
        <f t="shared" si="13"/>
        <v>0h 00m</v>
      </c>
      <c r="U8" s="21"/>
      <c r="V8" s="23">
        <v>0.29722222222222222</v>
      </c>
      <c r="W8" s="7">
        <v>0.6791666666666667</v>
      </c>
      <c r="X8" s="9" t="str">
        <f t="shared" si="14"/>
        <v>9h 10m</v>
      </c>
      <c r="Y8" s="21"/>
      <c r="Z8" s="113">
        <v>0.27430555555555558</v>
      </c>
      <c r="AA8" s="115">
        <v>0.6875</v>
      </c>
      <c r="AB8" s="9" t="str">
        <f t="shared" si="18"/>
        <v>9h 55m</v>
      </c>
      <c r="AC8" s="21"/>
      <c r="AD8" s="113">
        <v>0.29305555555555557</v>
      </c>
      <c r="AE8" s="115">
        <v>0.6791666666666667</v>
      </c>
      <c r="AF8" s="9" t="str">
        <f t="shared" si="19"/>
        <v>9h 16m</v>
      </c>
      <c r="AG8" s="21"/>
      <c r="AH8" s="93" t="s">
        <v>76</v>
      </c>
      <c r="AI8" s="99" t="s">
        <v>75</v>
      </c>
      <c r="AJ8" s="9" t="str">
        <f>$P$4</f>
        <v>0h 00m</v>
      </c>
      <c r="AK8" s="21" t="s">
        <v>71</v>
      </c>
      <c r="AL8" s="113">
        <v>0.29375000000000001</v>
      </c>
      <c r="AM8" s="115">
        <v>0.67777777777777781</v>
      </c>
      <c r="AN8" s="9" t="str">
        <f t="shared" si="15"/>
        <v>9h 13m</v>
      </c>
      <c r="AO8" s="21"/>
      <c r="AP8" s="113">
        <v>0.29583333333333334</v>
      </c>
      <c r="AQ8" s="115">
        <v>0.67777777777777781</v>
      </c>
      <c r="AR8" s="9" t="str">
        <f t="shared" si="16"/>
        <v>9h 10m</v>
      </c>
      <c r="AS8" s="21"/>
      <c r="AT8" s="113">
        <v>0.29166666666666669</v>
      </c>
      <c r="AU8" s="115">
        <v>0.67847222222222225</v>
      </c>
      <c r="AV8" s="9" t="str">
        <f t="shared" si="21"/>
        <v>9h 17m</v>
      </c>
      <c r="AW8" s="21"/>
      <c r="AX8" s="113">
        <v>0.29166666666666669</v>
      </c>
      <c r="AY8" s="115">
        <v>0.68333333333333335</v>
      </c>
      <c r="AZ8" s="9" t="str">
        <f t="shared" si="22"/>
        <v>9h 24m</v>
      </c>
      <c r="BA8" s="21"/>
      <c r="BB8" s="93" t="s">
        <v>76</v>
      </c>
      <c r="BC8" s="99" t="s">
        <v>75</v>
      </c>
      <c r="BD8" s="9" t="str">
        <f>$P$4</f>
        <v>0h 00m</v>
      </c>
      <c r="BE8" s="21" t="s">
        <v>68</v>
      </c>
      <c r="BF8" s="93" t="s">
        <v>76</v>
      </c>
      <c r="BG8" s="99" t="s">
        <v>75</v>
      </c>
      <c r="BH8" s="9" t="str">
        <f>$P$4</f>
        <v>0h 00m</v>
      </c>
      <c r="BI8" s="21" t="s">
        <v>70</v>
      </c>
      <c r="BJ8" s="93" t="s">
        <v>76</v>
      </c>
      <c r="BK8" s="99" t="s">
        <v>75</v>
      </c>
      <c r="BL8" s="9" t="str">
        <f>$P$4</f>
        <v>0h 00m</v>
      </c>
      <c r="BM8" s="21" t="s">
        <v>67</v>
      </c>
      <c r="BN8" s="113">
        <v>0.29097222222222224</v>
      </c>
      <c r="BO8" s="115">
        <v>0.68055555555555558</v>
      </c>
      <c r="BP8" s="9" t="str">
        <f t="shared" ref="BP8:BP32" si="26">TEXT(BO8-BN8,"h""h ""mm""m""")</f>
        <v>9h 21m</v>
      </c>
      <c r="BQ8" s="21"/>
      <c r="BR8" s="93" t="s">
        <v>76</v>
      </c>
      <c r="BS8" s="99" t="s">
        <v>75</v>
      </c>
      <c r="BT8" s="9" t="str">
        <f>$P$4</f>
        <v>0h 00m</v>
      </c>
      <c r="BU8" s="101" t="s">
        <v>66</v>
      </c>
      <c r="BV8" s="19">
        <v>0.27083333333333331</v>
      </c>
      <c r="BW8" s="10">
        <v>0.67708333333333337</v>
      </c>
      <c r="BX8" s="11" t="str">
        <f t="shared" si="8"/>
        <v>9h 45m</v>
      </c>
      <c r="BY8" s="45"/>
      <c r="BZ8" s="114">
        <v>0.28958333333333336</v>
      </c>
      <c r="CA8" s="115">
        <v>0.69027777777777777</v>
      </c>
      <c r="CB8" s="9" t="str">
        <f t="shared" si="23"/>
        <v>9h 37m</v>
      </c>
      <c r="CC8" s="21"/>
      <c r="CD8" s="27"/>
      <c r="CE8" s="28"/>
      <c r="CF8" s="9" t="str">
        <f t="shared" si="24"/>
        <v>0h 00m</v>
      </c>
      <c r="CG8" s="21"/>
      <c r="CH8" s="93" t="s">
        <v>76</v>
      </c>
      <c r="CI8" s="99" t="s">
        <v>75</v>
      </c>
      <c r="CJ8" s="9" t="str">
        <f>$P$4</f>
        <v>0h 00m</v>
      </c>
      <c r="CK8" s="21" t="s">
        <v>62</v>
      </c>
      <c r="CL8" s="43"/>
      <c r="CM8" s="78"/>
      <c r="CN8" s="96"/>
    </row>
    <row r="9" spans="1:92" ht="15" thickBot="1" x14ac:dyDescent="0.35">
      <c r="A9" s="2" t="s">
        <v>38</v>
      </c>
      <c r="B9" s="130">
        <v>0.2986111111111111</v>
      </c>
      <c r="C9" s="142">
        <v>0.67777777777777781</v>
      </c>
      <c r="D9" s="8" t="str">
        <f t="shared" si="25"/>
        <v>9h 06m</v>
      </c>
      <c r="E9" s="160"/>
      <c r="F9" s="133"/>
      <c r="G9" s="131"/>
      <c r="H9" s="41" t="str">
        <f t="shared" si="1"/>
        <v>0h 00m</v>
      </c>
      <c r="I9" s="132"/>
      <c r="J9" s="147" t="s">
        <v>84</v>
      </c>
      <c r="K9" s="148" t="s">
        <v>85</v>
      </c>
      <c r="L9" s="8" t="str">
        <f t="shared" si="12"/>
        <v>9h 59m</v>
      </c>
      <c r="M9" s="20"/>
      <c r="N9" s="19">
        <v>0.27083333333333331</v>
      </c>
      <c r="O9" s="10">
        <v>0.6791666666666667</v>
      </c>
      <c r="P9" s="9" t="str">
        <f t="shared" si="17"/>
        <v>9h 48m</v>
      </c>
      <c r="Q9" s="21"/>
      <c r="R9" s="19"/>
      <c r="S9" s="10"/>
      <c r="T9" s="9" t="str">
        <f t="shared" si="13"/>
        <v>0h 00m</v>
      </c>
      <c r="U9" s="21"/>
      <c r="V9" s="23">
        <v>0.29722222222222222</v>
      </c>
      <c r="W9" s="7">
        <v>0.67847222222222225</v>
      </c>
      <c r="X9" s="9" t="str">
        <f t="shared" si="14"/>
        <v>9h 09m</v>
      </c>
      <c r="Y9" s="21"/>
      <c r="Z9" s="19">
        <v>0.27777777777777779</v>
      </c>
      <c r="AA9" s="10">
        <v>0.68402777777777779</v>
      </c>
      <c r="AB9" s="9" t="str">
        <f t="shared" si="18"/>
        <v>9h 45m</v>
      </c>
      <c r="AC9" s="21"/>
      <c r="AD9" s="19">
        <v>0.29305555555555557</v>
      </c>
      <c r="AE9" s="10">
        <v>0.68055555555555558</v>
      </c>
      <c r="AF9" s="9" t="str">
        <f t="shared" si="19"/>
        <v>9h 18m</v>
      </c>
      <c r="AG9" s="21"/>
      <c r="AH9" s="93" t="s">
        <v>76</v>
      </c>
      <c r="AI9" s="99" t="s">
        <v>75</v>
      </c>
      <c r="AJ9" s="9" t="str">
        <f>$P$4</f>
        <v>0h 00m</v>
      </c>
      <c r="AK9" s="21" t="s">
        <v>71</v>
      </c>
      <c r="AL9" s="19">
        <v>0.28402777777777777</v>
      </c>
      <c r="AM9" s="10">
        <v>0.68333333333333335</v>
      </c>
      <c r="AN9" s="9" t="str">
        <f t="shared" si="15"/>
        <v>9h 35m</v>
      </c>
      <c r="AO9" s="21"/>
      <c r="AP9" s="19">
        <v>0.2951388888888889</v>
      </c>
      <c r="AQ9" s="10">
        <v>0.68055555555555558</v>
      </c>
      <c r="AR9" s="9" t="str">
        <f t="shared" si="16"/>
        <v>9h 15m</v>
      </c>
      <c r="AS9" s="21"/>
      <c r="AT9" s="19">
        <v>0.29166666666666669</v>
      </c>
      <c r="AU9" s="10">
        <v>0.68055555555555558</v>
      </c>
      <c r="AV9" s="9" t="str">
        <f t="shared" si="21"/>
        <v>9h 20m</v>
      </c>
      <c r="AW9" s="21"/>
      <c r="AX9" s="19">
        <v>0.28888888888888886</v>
      </c>
      <c r="AY9" s="10">
        <v>0.68125000000000002</v>
      </c>
      <c r="AZ9" s="9" t="str">
        <f t="shared" si="22"/>
        <v>9h 25m</v>
      </c>
      <c r="BA9" s="21"/>
      <c r="BB9" s="93" t="s">
        <v>76</v>
      </c>
      <c r="BC9" s="99" t="s">
        <v>75</v>
      </c>
      <c r="BD9" s="9" t="str">
        <f>$P$4</f>
        <v>0h 00m</v>
      </c>
      <c r="BE9" s="21" t="s">
        <v>68</v>
      </c>
      <c r="BF9" s="93" t="s">
        <v>76</v>
      </c>
      <c r="BG9" s="99" t="s">
        <v>75</v>
      </c>
      <c r="BH9" s="9" t="str">
        <f>$P$4</f>
        <v>0h 00m</v>
      </c>
      <c r="BI9" s="21" t="s">
        <v>70</v>
      </c>
      <c r="BJ9" s="93" t="s">
        <v>76</v>
      </c>
      <c r="BK9" s="99" t="s">
        <v>75</v>
      </c>
      <c r="BL9" s="9" t="str">
        <f>$P$4</f>
        <v>0h 00m</v>
      </c>
      <c r="BM9" s="21" t="s">
        <v>67</v>
      </c>
      <c r="BN9" s="19">
        <v>0.28611111111111109</v>
      </c>
      <c r="BO9" s="10">
        <v>0.68055555555555558</v>
      </c>
      <c r="BP9" s="9" t="str">
        <f t="shared" si="26"/>
        <v>9h 28m</v>
      </c>
      <c r="BQ9" s="21"/>
      <c r="BR9" s="93" t="s">
        <v>76</v>
      </c>
      <c r="BS9" s="99" t="s">
        <v>75</v>
      </c>
      <c r="BT9" s="9" t="str">
        <f>$P$4</f>
        <v>0h 00m</v>
      </c>
      <c r="BU9" s="101" t="s">
        <v>66</v>
      </c>
      <c r="BV9" s="19">
        <v>0.27083333333333331</v>
      </c>
      <c r="BW9" s="10">
        <v>0.67708333333333337</v>
      </c>
      <c r="BX9" s="11" t="str">
        <f t="shared" si="8"/>
        <v>9h 45m</v>
      </c>
      <c r="BY9" s="45"/>
      <c r="BZ9" s="105">
        <v>0.29375000000000001</v>
      </c>
      <c r="CA9" s="10">
        <v>0.68263888888888891</v>
      </c>
      <c r="CB9" s="9" t="str">
        <f t="shared" si="23"/>
        <v>9h 20m</v>
      </c>
      <c r="CC9" s="21"/>
      <c r="CD9" s="93" t="s">
        <v>76</v>
      </c>
      <c r="CE9" s="99" t="s">
        <v>75</v>
      </c>
      <c r="CF9" s="9" t="str">
        <f>$P$4</f>
        <v>0h 00m</v>
      </c>
      <c r="CG9" s="21" t="s">
        <v>73</v>
      </c>
      <c r="CH9" s="93" t="s">
        <v>76</v>
      </c>
      <c r="CI9" s="99" t="s">
        <v>75</v>
      </c>
      <c r="CJ9" s="9" t="str">
        <f>$P$4</f>
        <v>0h 00m</v>
      </c>
      <c r="CK9" s="21" t="s">
        <v>62</v>
      </c>
      <c r="CL9" s="42"/>
      <c r="CM9" s="76"/>
      <c r="CN9" s="95"/>
    </row>
    <row r="10" spans="1:92" ht="15" thickBot="1" x14ac:dyDescent="0.35">
      <c r="A10" s="2" t="s">
        <v>39</v>
      </c>
      <c r="B10" s="97" t="s">
        <v>96</v>
      </c>
      <c r="C10" s="98" t="s">
        <v>74</v>
      </c>
      <c r="D10" s="8" t="str">
        <f>$P$4</f>
        <v>0h 00m</v>
      </c>
      <c r="E10" s="160" t="s">
        <v>92</v>
      </c>
      <c r="F10" s="133"/>
      <c r="G10" s="131"/>
      <c r="H10" s="41" t="str">
        <f t="shared" si="1"/>
        <v>0h 00m</v>
      </c>
      <c r="I10" s="132"/>
      <c r="J10" s="147" t="s">
        <v>86</v>
      </c>
      <c r="K10" s="148" t="s">
        <v>87</v>
      </c>
      <c r="L10" s="8" t="str">
        <f t="shared" si="12"/>
        <v>9h 33m</v>
      </c>
      <c r="M10" s="20"/>
      <c r="N10" s="19">
        <v>0.26666666666666666</v>
      </c>
      <c r="O10" s="10">
        <v>0.6875</v>
      </c>
      <c r="P10" s="9" t="str">
        <f t="shared" si="17"/>
        <v>10h 06m</v>
      </c>
      <c r="Q10" s="21"/>
      <c r="R10" s="19"/>
      <c r="S10" s="10"/>
      <c r="T10" s="9" t="str">
        <f t="shared" si="13"/>
        <v>0h 00m</v>
      </c>
      <c r="U10" s="21"/>
      <c r="V10" s="23">
        <v>0.29652777777777778</v>
      </c>
      <c r="W10" s="7">
        <v>0.68125000000000002</v>
      </c>
      <c r="X10" s="9" t="str">
        <f t="shared" si="14"/>
        <v>9h 14m</v>
      </c>
      <c r="Y10" s="21"/>
      <c r="Z10" s="19">
        <v>0.2722222222222222</v>
      </c>
      <c r="AA10" s="10">
        <v>0.6958333333333333</v>
      </c>
      <c r="AB10" s="9" t="str">
        <f t="shared" si="18"/>
        <v>10h 10m</v>
      </c>
      <c r="AC10" s="21"/>
      <c r="AD10" s="19">
        <v>0.29583333333333334</v>
      </c>
      <c r="AE10" s="10">
        <v>0.68333333333333335</v>
      </c>
      <c r="AF10" s="9" t="str">
        <f t="shared" si="19"/>
        <v>9h 18m</v>
      </c>
      <c r="AG10" s="21"/>
      <c r="AH10" s="93" t="s">
        <v>76</v>
      </c>
      <c r="AI10" s="99" t="s">
        <v>75</v>
      </c>
      <c r="AJ10" s="9" t="str">
        <f>$P$4</f>
        <v>0h 00m</v>
      </c>
      <c r="AK10" s="21" t="s">
        <v>71</v>
      </c>
      <c r="AL10" s="19">
        <v>0.29444444444444445</v>
      </c>
      <c r="AM10" s="10">
        <v>0.69305555555555554</v>
      </c>
      <c r="AN10" s="9" t="str">
        <f t="shared" si="15"/>
        <v>9h 34m</v>
      </c>
      <c r="AO10" s="21"/>
      <c r="AP10" s="19">
        <v>0.29166666666666669</v>
      </c>
      <c r="AQ10" s="10">
        <v>0.69097222222222221</v>
      </c>
      <c r="AR10" s="9" t="str">
        <f t="shared" si="16"/>
        <v>9h 35m</v>
      </c>
      <c r="AS10" s="21"/>
      <c r="AT10" s="19">
        <v>0.29166666666666669</v>
      </c>
      <c r="AU10" s="10">
        <v>0.67847222222222225</v>
      </c>
      <c r="AV10" s="9" t="str">
        <f t="shared" si="21"/>
        <v>9h 17m</v>
      </c>
      <c r="AW10" s="21"/>
      <c r="AX10" s="19">
        <v>0.28819444444444442</v>
      </c>
      <c r="AY10" s="10">
        <v>0.6791666666666667</v>
      </c>
      <c r="AZ10" s="9" t="str">
        <f t="shared" si="22"/>
        <v>9h 23m</v>
      </c>
      <c r="BA10" s="21"/>
      <c r="BB10" s="93" t="s">
        <v>76</v>
      </c>
      <c r="BC10" s="99" t="s">
        <v>75</v>
      </c>
      <c r="BD10" s="9" t="str">
        <f>$P$4</f>
        <v>0h 00m</v>
      </c>
      <c r="BE10" s="21" t="s">
        <v>68</v>
      </c>
      <c r="BF10" s="93" t="s">
        <v>76</v>
      </c>
      <c r="BG10" s="99" t="s">
        <v>75</v>
      </c>
      <c r="BH10" s="9" t="str">
        <f>$P$4</f>
        <v>0h 00m</v>
      </c>
      <c r="BI10" s="21" t="s">
        <v>70</v>
      </c>
      <c r="BJ10" s="19">
        <v>0.2986111111111111</v>
      </c>
      <c r="BK10" s="10">
        <v>0.67847222222222225</v>
      </c>
      <c r="BL10" s="9" t="str">
        <f t="shared" ref="BL10:BL32" si="27">TEXT(BK10-BJ10,"h""h ""mm""m""")</f>
        <v>9h 07m</v>
      </c>
      <c r="BM10" s="21"/>
      <c r="BN10" s="19">
        <v>0.28888888888888886</v>
      </c>
      <c r="BO10" s="10">
        <v>0.6791666666666667</v>
      </c>
      <c r="BP10" s="9" t="str">
        <f t="shared" si="26"/>
        <v>9h 22m</v>
      </c>
      <c r="BQ10" s="21"/>
      <c r="BR10" s="93" t="s">
        <v>76</v>
      </c>
      <c r="BS10" s="99" t="s">
        <v>75</v>
      </c>
      <c r="BT10" s="9" t="str">
        <f>$P$4</f>
        <v>0h 00m</v>
      </c>
      <c r="BU10" s="101" t="s">
        <v>66</v>
      </c>
      <c r="BV10" s="19">
        <v>0.27083333333333331</v>
      </c>
      <c r="BW10" s="10">
        <v>0.67708333333333337</v>
      </c>
      <c r="BX10" s="11" t="str">
        <f t="shared" si="8"/>
        <v>9h 45m</v>
      </c>
      <c r="BY10" s="45"/>
      <c r="BZ10" s="105">
        <v>0.2951388888888889</v>
      </c>
      <c r="CA10" s="10">
        <v>0.64583333333333337</v>
      </c>
      <c r="CB10" s="9" t="str">
        <f t="shared" si="23"/>
        <v>8h 25m</v>
      </c>
      <c r="CC10" s="21"/>
      <c r="CD10" s="19"/>
      <c r="CE10" s="10"/>
      <c r="CF10" s="9" t="str">
        <f t="shared" si="24"/>
        <v>0h 00m</v>
      </c>
      <c r="CG10" s="21"/>
      <c r="CH10" s="93" t="s">
        <v>76</v>
      </c>
      <c r="CI10" s="99" t="s">
        <v>75</v>
      </c>
      <c r="CJ10" s="9" t="str">
        <f>$P$4</f>
        <v>0h 00m</v>
      </c>
      <c r="CK10" s="21" t="s">
        <v>62</v>
      </c>
      <c r="CL10" s="42"/>
      <c r="CM10" s="76"/>
      <c r="CN10" s="95"/>
    </row>
    <row r="11" spans="1:92" s="29" customFormat="1" ht="15" thickBot="1" x14ac:dyDescent="0.35">
      <c r="A11" s="2" t="s">
        <v>40</v>
      </c>
      <c r="B11" s="127"/>
      <c r="C11" s="128"/>
      <c r="D11" s="49" t="str">
        <f t="shared" si="25"/>
        <v>0h 00m</v>
      </c>
      <c r="E11" s="159"/>
      <c r="F11" s="127"/>
      <c r="G11" s="128"/>
      <c r="H11" s="168" t="str">
        <f t="shared" si="1"/>
        <v>0h 00m</v>
      </c>
      <c r="I11" s="129"/>
      <c r="J11" s="149"/>
      <c r="K11" s="150"/>
      <c r="L11" s="49" t="str">
        <f t="shared" si="12"/>
        <v>0h 00m</v>
      </c>
      <c r="M11" s="50"/>
      <c r="N11" s="47"/>
      <c r="O11" s="48"/>
      <c r="P11" s="51" t="str">
        <f t="shared" si="17"/>
        <v>0h 00m</v>
      </c>
      <c r="Q11" s="52"/>
      <c r="R11" s="47"/>
      <c r="S11" s="48"/>
      <c r="T11" s="51" t="str">
        <f t="shared" si="13"/>
        <v>0h 00m</v>
      </c>
      <c r="U11" s="52"/>
      <c r="V11" s="54"/>
      <c r="W11" s="51"/>
      <c r="X11" s="51" t="str">
        <f t="shared" si="14"/>
        <v>0h 00m</v>
      </c>
      <c r="Y11" s="52"/>
      <c r="Z11" s="47"/>
      <c r="AA11" s="48"/>
      <c r="AB11" s="51" t="str">
        <f t="shared" si="18"/>
        <v>0h 00m</v>
      </c>
      <c r="AC11" s="52"/>
      <c r="AD11" s="47"/>
      <c r="AE11" s="48"/>
      <c r="AF11" s="51" t="str">
        <f t="shared" si="19"/>
        <v>0h 00m</v>
      </c>
      <c r="AG11" s="52"/>
      <c r="AH11" s="47"/>
      <c r="AI11" s="48"/>
      <c r="AJ11" s="51" t="str">
        <f t="shared" si="20"/>
        <v>0h 00m</v>
      </c>
      <c r="AK11" s="52"/>
      <c r="AL11" s="47"/>
      <c r="AM11" s="48"/>
      <c r="AN11" s="51" t="str">
        <f t="shared" si="15"/>
        <v>0h 00m</v>
      </c>
      <c r="AO11" s="52"/>
      <c r="AP11" s="47"/>
      <c r="AQ11" s="48"/>
      <c r="AR11" s="51" t="str">
        <f t="shared" si="16"/>
        <v>0h 00m</v>
      </c>
      <c r="AS11" s="52"/>
      <c r="AT11" s="47"/>
      <c r="AU11" s="48"/>
      <c r="AV11" s="51" t="str">
        <f t="shared" si="21"/>
        <v>0h 00m</v>
      </c>
      <c r="AW11" s="52"/>
      <c r="AX11" s="47"/>
      <c r="AY11" s="48"/>
      <c r="AZ11" s="51" t="str">
        <f t="shared" si="22"/>
        <v>0h 00m</v>
      </c>
      <c r="BA11" s="52"/>
      <c r="BB11" s="57"/>
      <c r="BC11" s="58"/>
      <c r="BD11" s="51" t="str">
        <f t="shared" ref="BD11:BD32" si="28">TEXT(BC11-BB11,"h""h ""mm""m""")</f>
        <v>0h 00m</v>
      </c>
      <c r="BE11" s="52"/>
      <c r="BF11" s="47"/>
      <c r="BG11" s="48"/>
      <c r="BH11" s="51" t="str">
        <f t="shared" ref="BH11:BH32" si="29">TEXT(BG11-BF11,"h""h ""mm""m""")</f>
        <v>0h 00m</v>
      </c>
      <c r="BI11" s="52"/>
      <c r="BJ11" s="47"/>
      <c r="BK11" s="48"/>
      <c r="BL11" s="51" t="str">
        <f t="shared" si="27"/>
        <v>0h 00m</v>
      </c>
      <c r="BM11" s="52"/>
      <c r="BN11" s="47"/>
      <c r="BO11" s="48"/>
      <c r="BP11" s="51" t="str">
        <f t="shared" si="26"/>
        <v>0h 00m</v>
      </c>
      <c r="BQ11" s="52"/>
      <c r="BR11" s="47"/>
      <c r="BS11" s="48"/>
      <c r="BT11" s="51" t="str">
        <f t="shared" ref="BT11:BT32" si="30">TEXT(BS11-BR11,"h""h ""mm""m""")</f>
        <v>0h 00m</v>
      </c>
      <c r="BU11" s="102"/>
      <c r="BV11" s="57"/>
      <c r="BW11" s="58"/>
      <c r="BX11" s="58" t="str">
        <f t="shared" si="8"/>
        <v>0h 00m</v>
      </c>
      <c r="BY11" s="108"/>
      <c r="BZ11" s="106"/>
      <c r="CA11" s="48"/>
      <c r="CB11" s="51" t="str">
        <f t="shared" si="23"/>
        <v>0h 00m</v>
      </c>
      <c r="CC11" s="52"/>
      <c r="CD11" s="57"/>
      <c r="CE11" s="58"/>
      <c r="CF11" s="51" t="str">
        <f t="shared" si="24"/>
        <v>0h 00m</v>
      </c>
      <c r="CG11" s="52"/>
      <c r="CH11" s="47"/>
      <c r="CI11" s="48"/>
      <c r="CJ11" s="51" t="str">
        <f t="shared" ref="CJ11:CJ32" si="31">TEXT(CI11-CH11,"h""h ""mm""m""")</f>
        <v>0h 00m</v>
      </c>
      <c r="CK11" s="52"/>
      <c r="CL11" s="72"/>
      <c r="CM11" s="77"/>
      <c r="CN11" s="96"/>
    </row>
    <row r="12" spans="1:92" s="29" customFormat="1" ht="15" thickBot="1" x14ac:dyDescent="0.35">
      <c r="A12" s="2" t="s">
        <v>41</v>
      </c>
      <c r="B12" s="127"/>
      <c r="C12" s="128"/>
      <c r="D12" s="49" t="str">
        <f t="shared" si="25"/>
        <v>0h 00m</v>
      </c>
      <c r="E12" s="159"/>
      <c r="F12" s="127"/>
      <c r="G12" s="128"/>
      <c r="H12" s="168" t="str">
        <f t="shared" si="1"/>
        <v>0h 00m</v>
      </c>
      <c r="I12" s="129"/>
      <c r="J12" s="149"/>
      <c r="K12" s="150"/>
      <c r="L12" s="49" t="str">
        <f t="shared" si="12"/>
        <v>0h 00m</v>
      </c>
      <c r="M12" s="50"/>
      <c r="N12" s="47"/>
      <c r="O12" s="48"/>
      <c r="P12" s="51" t="str">
        <f t="shared" si="17"/>
        <v>0h 00m</v>
      </c>
      <c r="Q12" s="52"/>
      <c r="R12" s="47"/>
      <c r="S12" s="48"/>
      <c r="T12" s="51" t="str">
        <f t="shared" si="13"/>
        <v>0h 00m</v>
      </c>
      <c r="U12" s="52"/>
      <c r="V12" s="54"/>
      <c r="W12" s="51"/>
      <c r="X12" s="51" t="str">
        <f t="shared" si="14"/>
        <v>0h 00m</v>
      </c>
      <c r="Y12" s="52"/>
      <c r="Z12" s="62"/>
      <c r="AA12" s="63"/>
      <c r="AB12" s="51" t="str">
        <f t="shared" si="18"/>
        <v>0h 00m</v>
      </c>
      <c r="AC12" s="52"/>
      <c r="AD12" s="47"/>
      <c r="AE12" s="48"/>
      <c r="AF12" s="51" t="str">
        <f t="shared" si="19"/>
        <v>0h 00m</v>
      </c>
      <c r="AG12" s="52"/>
      <c r="AH12" s="47"/>
      <c r="AI12" s="48"/>
      <c r="AJ12" s="51" t="str">
        <f t="shared" si="20"/>
        <v>0h 00m</v>
      </c>
      <c r="AK12" s="52"/>
      <c r="AL12" s="47"/>
      <c r="AM12" s="48"/>
      <c r="AN12" s="51" t="str">
        <f t="shared" si="15"/>
        <v>0h 00m</v>
      </c>
      <c r="AO12" s="52"/>
      <c r="AP12" s="47"/>
      <c r="AQ12" s="48"/>
      <c r="AR12" s="51" t="str">
        <f t="shared" si="16"/>
        <v>0h 00m</v>
      </c>
      <c r="AS12" s="52"/>
      <c r="AT12" s="47"/>
      <c r="AU12" s="48"/>
      <c r="AV12" s="51" t="str">
        <f t="shared" si="21"/>
        <v>0h 00m</v>
      </c>
      <c r="AW12" s="52"/>
      <c r="AX12" s="47"/>
      <c r="AY12" s="48"/>
      <c r="AZ12" s="51" t="str">
        <f t="shared" si="22"/>
        <v>0h 00m</v>
      </c>
      <c r="BA12" s="52"/>
      <c r="BB12" s="47"/>
      <c r="BC12" s="48"/>
      <c r="BD12" s="51" t="str">
        <f t="shared" si="28"/>
        <v>0h 00m</v>
      </c>
      <c r="BE12" s="52"/>
      <c r="BF12" s="47"/>
      <c r="BG12" s="48"/>
      <c r="BH12" s="51" t="str">
        <f t="shared" si="29"/>
        <v>0h 00m</v>
      </c>
      <c r="BI12" s="52"/>
      <c r="BJ12" s="47"/>
      <c r="BK12" s="48"/>
      <c r="BL12" s="51" t="str">
        <f t="shared" si="27"/>
        <v>0h 00m</v>
      </c>
      <c r="BM12" s="52"/>
      <c r="BN12" s="47"/>
      <c r="BO12" s="48"/>
      <c r="BP12" s="51" t="str">
        <f t="shared" si="26"/>
        <v>0h 00m</v>
      </c>
      <c r="BQ12" s="52"/>
      <c r="BR12" s="47"/>
      <c r="BS12" s="48"/>
      <c r="BT12" s="51" t="str">
        <f t="shared" si="30"/>
        <v>0h 00m</v>
      </c>
      <c r="BU12" s="102"/>
      <c r="BV12" s="57"/>
      <c r="BW12" s="58"/>
      <c r="BX12" s="58" t="str">
        <f t="shared" si="8"/>
        <v>0h 00m</v>
      </c>
      <c r="BY12" s="108"/>
      <c r="BZ12" s="106"/>
      <c r="CA12" s="48"/>
      <c r="CB12" s="51" t="str">
        <f t="shared" si="23"/>
        <v>0h 00m</v>
      </c>
      <c r="CC12" s="52"/>
      <c r="CD12" s="47"/>
      <c r="CE12" s="48"/>
      <c r="CF12" s="51" t="str">
        <f t="shared" si="24"/>
        <v>0h 00m</v>
      </c>
      <c r="CG12" s="52"/>
      <c r="CH12" s="47"/>
      <c r="CI12" s="48"/>
      <c r="CJ12" s="51" t="str">
        <f t="shared" si="31"/>
        <v>0h 00m</v>
      </c>
      <c r="CK12" s="52"/>
      <c r="CL12" s="72"/>
      <c r="CM12" s="79"/>
      <c r="CN12" s="96"/>
    </row>
    <row r="13" spans="1:92" ht="15" thickBot="1" x14ac:dyDescent="0.35">
      <c r="A13" s="2" t="s">
        <v>42</v>
      </c>
      <c r="B13" s="130">
        <v>0.2986111111111111</v>
      </c>
      <c r="C13" s="142">
        <v>0.68402777777777779</v>
      </c>
      <c r="D13" s="8" t="str">
        <f t="shared" si="25"/>
        <v>9h 15m</v>
      </c>
      <c r="E13" s="160"/>
      <c r="F13" s="133"/>
      <c r="G13" s="131"/>
      <c r="H13" s="41" t="str">
        <f t="shared" si="1"/>
        <v>0h 00m</v>
      </c>
      <c r="I13" s="132"/>
      <c r="J13" s="147" t="s">
        <v>88</v>
      </c>
      <c r="K13" s="148" t="s">
        <v>89</v>
      </c>
      <c r="L13" s="8" t="str">
        <f t="shared" si="12"/>
        <v>9h 09m</v>
      </c>
      <c r="M13" s="20"/>
      <c r="N13" s="19">
        <v>0.2722222222222222</v>
      </c>
      <c r="O13" s="10">
        <v>0.6791666666666667</v>
      </c>
      <c r="P13" s="9" t="str">
        <f t="shared" si="17"/>
        <v>9h 46m</v>
      </c>
      <c r="Q13" s="21"/>
      <c r="R13" s="19"/>
      <c r="S13" s="10"/>
      <c r="T13" s="9" t="str">
        <f t="shared" si="13"/>
        <v>0h 00m</v>
      </c>
      <c r="U13" s="21"/>
      <c r="V13" s="23">
        <v>0.29722222222222222</v>
      </c>
      <c r="W13" s="7">
        <v>0.6791666666666667</v>
      </c>
      <c r="X13" s="9" t="str">
        <f t="shared" si="14"/>
        <v>9h 10m</v>
      </c>
      <c r="Y13" s="21"/>
      <c r="Z13" s="19">
        <v>0.27361111111111114</v>
      </c>
      <c r="AA13" s="10">
        <v>0.7</v>
      </c>
      <c r="AB13" s="9" t="str">
        <f t="shared" si="18"/>
        <v>10h 14m</v>
      </c>
      <c r="AC13" s="21"/>
      <c r="AD13" s="19">
        <v>0.29236111111111113</v>
      </c>
      <c r="AE13" s="10">
        <v>0.68958333333333333</v>
      </c>
      <c r="AF13" s="9" t="str">
        <f t="shared" si="19"/>
        <v>9h 32m</v>
      </c>
      <c r="AG13" s="21"/>
      <c r="AH13" s="93" t="s">
        <v>76</v>
      </c>
      <c r="AI13" s="99" t="s">
        <v>75</v>
      </c>
      <c r="AJ13" s="9" t="str">
        <f>$P$4</f>
        <v>0h 00m</v>
      </c>
      <c r="AK13" s="21" t="s">
        <v>71</v>
      </c>
      <c r="AL13" s="19">
        <v>0.2951388888888889</v>
      </c>
      <c r="AM13" s="10">
        <v>0.68541666666666667</v>
      </c>
      <c r="AN13" s="9" t="str">
        <f t="shared" si="15"/>
        <v>9h 22m</v>
      </c>
      <c r="AO13" s="21"/>
      <c r="AP13" s="19">
        <v>0.29444444444444445</v>
      </c>
      <c r="AQ13" s="10">
        <v>0.6875</v>
      </c>
      <c r="AR13" s="9" t="str">
        <f t="shared" si="16"/>
        <v>9h 26m</v>
      </c>
      <c r="AS13" s="21"/>
      <c r="AT13" s="19">
        <v>0.29166666666666669</v>
      </c>
      <c r="AU13" s="10">
        <v>0.68263888888888891</v>
      </c>
      <c r="AV13" s="9" t="str">
        <f t="shared" si="21"/>
        <v>9h 23m</v>
      </c>
      <c r="AW13" s="21"/>
      <c r="AX13" s="19">
        <v>0.29166666666666669</v>
      </c>
      <c r="AY13" s="10">
        <v>0.68263888888888891</v>
      </c>
      <c r="AZ13" s="9" t="str">
        <f t="shared" si="22"/>
        <v>9h 23m</v>
      </c>
      <c r="BA13" s="21"/>
      <c r="BB13" s="93" t="s">
        <v>76</v>
      </c>
      <c r="BC13" s="99" t="s">
        <v>75</v>
      </c>
      <c r="BD13" s="9" t="str">
        <f>$P$4</f>
        <v>0h 00m</v>
      </c>
      <c r="BE13" s="21" t="s">
        <v>68</v>
      </c>
      <c r="BF13" s="93" t="s">
        <v>76</v>
      </c>
      <c r="BG13" s="99" t="s">
        <v>75</v>
      </c>
      <c r="BH13" s="9" t="str">
        <f>$P$4</f>
        <v>0h 00m</v>
      </c>
      <c r="BI13" s="21" t="s">
        <v>70</v>
      </c>
      <c r="BJ13" s="19">
        <v>0.2986111111111111</v>
      </c>
      <c r="BK13" s="10">
        <v>0.67847222222222225</v>
      </c>
      <c r="BL13" s="9" t="str">
        <f t="shared" si="27"/>
        <v>9h 07m</v>
      </c>
      <c r="BM13" s="21"/>
      <c r="BN13" s="19">
        <v>0.28749999999999998</v>
      </c>
      <c r="BO13" s="10">
        <v>0.68055555555555558</v>
      </c>
      <c r="BP13" s="9" t="str">
        <f t="shared" si="26"/>
        <v>9h 26m</v>
      </c>
      <c r="BQ13" s="21"/>
      <c r="BR13" s="93" t="s">
        <v>76</v>
      </c>
      <c r="BS13" s="99" t="s">
        <v>75</v>
      </c>
      <c r="BT13" s="9" t="str">
        <f>$P$4</f>
        <v>0h 00m</v>
      </c>
      <c r="BU13" s="101" t="s">
        <v>66</v>
      </c>
      <c r="BV13" s="19">
        <v>0.27083333333333331</v>
      </c>
      <c r="BW13" s="10">
        <v>0.67708333333333337</v>
      </c>
      <c r="BX13" s="11" t="str">
        <f t="shared" si="8"/>
        <v>9h 45m</v>
      </c>
      <c r="BY13" s="45"/>
      <c r="BZ13" s="105">
        <v>0.28472222222222221</v>
      </c>
      <c r="CA13" s="10">
        <v>0.68055555555555558</v>
      </c>
      <c r="CB13" s="9" t="str">
        <f t="shared" si="23"/>
        <v>9h 30m</v>
      </c>
      <c r="CC13" s="21"/>
      <c r="CD13" s="24"/>
      <c r="CE13" s="11"/>
      <c r="CF13" s="9" t="str">
        <f t="shared" si="24"/>
        <v>0h 00m</v>
      </c>
      <c r="CG13" s="21"/>
      <c r="CH13" s="19">
        <v>0.28263888888888888</v>
      </c>
      <c r="CI13" s="10">
        <v>0.67986111111111114</v>
      </c>
      <c r="CJ13" s="9" t="str">
        <f t="shared" si="31"/>
        <v>9h 32m</v>
      </c>
      <c r="CK13" s="21"/>
      <c r="CL13" s="42"/>
      <c r="CM13" s="76"/>
      <c r="CN13" s="95"/>
    </row>
    <row r="14" spans="1:92" s="29" customFormat="1" ht="15" thickBot="1" x14ac:dyDescent="0.35">
      <c r="A14" s="2" t="s">
        <v>43</v>
      </c>
      <c r="B14" s="130">
        <v>0.2986111111111111</v>
      </c>
      <c r="C14" s="142">
        <v>0.68125000000000002</v>
      </c>
      <c r="D14" s="8" t="str">
        <f t="shared" si="25"/>
        <v>9h 11m</v>
      </c>
      <c r="E14" s="160"/>
      <c r="F14" s="133"/>
      <c r="G14" s="131"/>
      <c r="H14" s="41" t="str">
        <f t="shared" si="1"/>
        <v>0h 00m</v>
      </c>
      <c r="I14" s="132"/>
      <c r="J14" s="147" t="s">
        <v>90</v>
      </c>
      <c r="K14" s="148" t="s">
        <v>91</v>
      </c>
      <c r="L14" s="8" t="str">
        <f t="shared" si="12"/>
        <v>9h 03m</v>
      </c>
      <c r="M14" s="20"/>
      <c r="N14" s="19">
        <v>0.27013888888888887</v>
      </c>
      <c r="O14" s="10">
        <v>0.68194444444444446</v>
      </c>
      <c r="P14" s="9" t="str">
        <f t="shared" si="17"/>
        <v>9h 53m</v>
      </c>
      <c r="Q14" s="21"/>
      <c r="R14" s="24"/>
      <c r="S14" s="11"/>
      <c r="T14" s="9" t="str">
        <f t="shared" si="13"/>
        <v>0h 00m</v>
      </c>
      <c r="U14" s="21"/>
      <c r="V14" s="23">
        <v>0.29652777777777778</v>
      </c>
      <c r="W14" s="7">
        <v>0.67847222222222225</v>
      </c>
      <c r="X14" s="9" t="str">
        <f t="shared" si="14"/>
        <v>9h 10m</v>
      </c>
      <c r="Y14" s="21"/>
      <c r="Z14" s="19">
        <v>0.28125</v>
      </c>
      <c r="AA14" s="10">
        <v>0.69236111111111109</v>
      </c>
      <c r="AB14" s="9" t="str">
        <f t="shared" si="18"/>
        <v>9h 52m</v>
      </c>
      <c r="AC14" s="21"/>
      <c r="AD14" s="19">
        <v>0.28958333333333336</v>
      </c>
      <c r="AE14" s="10">
        <v>0.68125000000000002</v>
      </c>
      <c r="AF14" s="9" t="str">
        <f t="shared" si="19"/>
        <v>9h 24m</v>
      </c>
      <c r="AG14" s="21"/>
      <c r="AH14" s="93" t="s">
        <v>76</v>
      </c>
      <c r="AI14" s="99" t="s">
        <v>75</v>
      </c>
      <c r="AJ14" s="9" t="str">
        <f>$P$4</f>
        <v>0h 00m</v>
      </c>
      <c r="AK14" s="21" t="s">
        <v>71</v>
      </c>
      <c r="AL14" s="93" t="s">
        <v>76</v>
      </c>
      <c r="AM14" s="99" t="s">
        <v>75</v>
      </c>
      <c r="AN14" s="9" t="str">
        <f>$P$4</f>
        <v>0h 00m</v>
      </c>
      <c r="AO14" s="21" t="s">
        <v>94</v>
      </c>
      <c r="AP14" s="19">
        <v>0.28125</v>
      </c>
      <c r="AQ14" s="10">
        <v>0.67708333333333337</v>
      </c>
      <c r="AR14" s="9" t="str">
        <f t="shared" si="16"/>
        <v>9h 30m</v>
      </c>
      <c r="AS14" s="21"/>
      <c r="AT14" s="19">
        <v>0.29166666666666669</v>
      </c>
      <c r="AU14" s="10">
        <v>0.68125000000000002</v>
      </c>
      <c r="AV14" s="9" t="str">
        <f t="shared" si="21"/>
        <v>9h 21m</v>
      </c>
      <c r="AW14" s="21"/>
      <c r="AX14" s="19">
        <v>0.2902777777777778</v>
      </c>
      <c r="AY14" s="10">
        <v>0.68125000000000002</v>
      </c>
      <c r="AZ14" s="9" t="str">
        <f t="shared" si="22"/>
        <v>9h 23m</v>
      </c>
      <c r="BA14" s="21"/>
      <c r="BB14" s="93" t="s">
        <v>76</v>
      </c>
      <c r="BC14" s="99" t="s">
        <v>75</v>
      </c>
      <c r="BD14" s="9" t="str">
        <f>$P$4</f>
        <v>0h 00m</v>
      </c>
      <c r="BE14" s="21" t="s">
        <v>68</v>
      </c>
      <c r="BF14" s="19">
        <v>0.28749999999999998</v>
      </c>
      <c r="BG14" s="10">
        <v>0.67708333333333337</v>
      </c>
      <c r="BH14" s="9" t="str">
        <f t="shared" si="29"/>
        <v>9h 21m</v>
      </c>
      <c r="BI14" s="21"/>
      <c r="BJ14" s="19">
        <v>0.29791666666666666</v>
      </c>
      <c r="BK14" s="10">
        <v>0.67777777777777781</v>
      </c>
      <c r="BL14" s="9" t="str">
        <f t="shared" si="27"/>
        <v>9h 07m</v>
      </c>
      <c r="BM14" s="21"/>
      <c r="BN14" s="19">
        <v>0.28611111111111109</v>
      </c>
      <c r="BO14" s="10">
        <v>0.68125000000000002</v>
      </c>
      <c r="BP14" s="9" t="str">
        <f t="shared" si="26"/>
        <v>9h 29m</v>
      </c>
      <c r="BQ14" s="21"/>
      <c r="BR14" s="93" t="s">
        <v>76</v>
      </c>
      <c r="BS14" s="99" t="s">
        <v>75</v>
      </c>
      <c r="BT14" s="9" t="str">
        <f>$P$4</f>
        <v>0h 00m</v>
      </c>
      <c r="BU14" s="101" t="s">
        <v>66</v>
      </c>
      <c r="BV14" s="19">
        <v>0.27083333333333331</v>
      </c>
      <c r="BW14" s="10">
        <v>0.67708333333333337</v>
      </c>
      <c r="BX14" s="11" t="str">
        <f t="shared" si="8"/>
        <v>9h 45m</v>
      </c>
      <c r="BY14" s="45"/>
      <c r="BZ14" s="105">
        <v>0.29444444444444445</v>
      </c>
      <c r="CA14" s="10">
        <v>0.68055555555555558</v>
      </c>
      <c r="CB14" s="9" t="str">
        <f t="shared" si="23"/>
        <v>9h 16m</v>
      </c>
      <c r="CC14" s="21"/>
      <c r="CD14" s="19">
        <v>0.30555555555555558</v>
      </c>
      <c r="CE14" s="105">
        <v>0.68541666666666667</v>
      </c>
      <c r="CF14" s="9" t="str">
        <f t="shared" si="24"/>
        <v>9h 07m</v>
      </c>
      <c r="CG14" s="21"/>
      <c r="CH14" s="19">
        <v>0.29791666666666666</v>
      </c>
      <c r="CI14" s="10">
        <v>0.67777777777777781</v>
      </c>
      <c r="CJ14" s="9" t="str">
        <f t="shared" si="31"/>
        <v>9h 07m</v>
      </c>
      <c r="CK14" s="21"/>
      <c r="CL14" s="42"/>
      <c r="CM14" s="76"/>
      <c r="CN14" s="96"/>
    </row>
    <row r="15" spans="1:92" s="29" customFormat="1" ht="15" thickBot="1" x14ac:dyDescent="0.35">
      <c r="A15" s="2" t="s">
        <v>44</v>
      </c>
      <c r="B15" s="130">
        <v>0.3034722222222222</v>
      </c>
      <c r="C15" s="142">
        <v>0.6791666666666667</v>
      </c>
      <c r="D15" s="8" t="str">
        <f t="shared" si="25"/>
        <v>9h 01m</v>
      </c>
      <c r="E15" s="160"/>
      <c r="F15" s="133"/>
      <c r="G15" s="131"/>
      <c r="H15" s="41" t="str">
        <f t="shared" si="1"/>
        <v>0h 00m</v>
      </c>
      <c r="I15" s="132"/>
      <c r="J15" s="147" t="s">
        <v>90</v>
      </c>
      <c r="K15" s="148" t="s">
        <v>93</v>
      </c>
      <c r="L15" s="8" t="str">
        <f t="shared" si="12"/>
        <v>9h 11m</v>
      </c>
      <c r="M15" s="20"/>
      <c r="N15" s="19">
        <v>0.2673611111111111</v>
      </c>
      <c r="O15" s="10">
        <v>0.6791666666666667</v>
      </c>
      <c r="P15" s="9" t="str">
        <f t="shared" si="17"/>
        <v>9h 53m</v>
      </c>
      <c r="Q15" s="21"/>
      <c r="R15" s="24"/>
      <c r="S15" s="11"/>
      <c r="T15" s="9" t="str">
        <f t="shared" si="13"/>
        <v>0h 00m</v>
      </c>
      <c r="U15" s="21"/>
      <c r="V15" s="23">
        <v>0.29652777777777778</v>
      </c>
      <c r="W15" s="7">
        <v>0.6791666666666667</v>
      </c>
      <c r="X15" s="9" t="str">
        <f t="shared" si="14"/>
        <v>9h 11m</v>
      </c>
      <c r="Y15" s="21"/>
      <c r="Z15" s="19">
        <v>0.27083333333333331</v>
      </c>
      <c r="AA15" s="10">
        <v>0.69513888888888886</v>
      </c>
      <c r="AB15" s="9" t="str">
        <f t="shared" si="18"/>
        <v>10h 11m</v>
      </c>
      <c r="AC15" s="21"/>
      <c r="AD15" s="19">
        <v>0.28749999999999998</v>
      </c>
      <c r="AE15" s="10">
        <v>0.68055555555555558</v>
      </c>
      <c r="AF15" s="9" t="str">
        <f t="shared" si="19"/>
        <v>9h 26m</v>
      </c>
      <c r="AG15" s="21"/>
      <c r="AH15" s="93" t="s">
        <v>76</v>
      </c>
      <c r="AI15" s="99" t="s">
        <v>75</v>
      </c>
      <c r="AJ15" s="9" t="str">
        <f>$P$4</f>
        <v>0h 00m</v>
      </c>
      <c r="AK15" s="21" t="s">
        <v>71</v>
      </c>
      <c r="AL15" s="19">
        <v>0.29375000000000001</v>
      </c>
      <c r="AM15" s="10">
        <v>0.68541666666666667</v>
      </c>
      <c r="AN15" s="9" t="str">
        <f t="shared" si="15"/>
        <v>9h 24m</v>
      </c>
      <c r="AO15" s="21"/>
      <c r="AP15" s="19">
        <v>0.27916666666666667</v>
      </c>
      <c r="AQ15" s="10">
        <v>0.68472222222222223</v>
      </c>
      <c r="AR15" s="9" t="str">
        <f t="shared" si="16"/>
        <v>9h 44m</v>
      </c>
      <c r="AS15" s="21"/>
      <c r="AT15" s="19">
        <v>0.29166666666666669</v>
      </c>
      <c r="AU15" s="10">
        <v>0.67847222222222225</v>
      </c>
      <c r="AV15" s="9" t="str">
        <f t="shared" si="21"/>
        <v>9h 17m</v>
      </c>
      <c r="AW15" s="21"/>
      <c r="AX15" s="19">
        <v>0.28749999999999998</v>
      </c>
      <c r="AY15" s="10">
        <v>0.68055555555555558</v>
      </c>
      <c r="AZ15" s="9" t="str">
        <f t="shared" si="22"/>
        <v>9h 26m</v>
      </c>
      <c r="BA15" s="21"/>
      <c r="BB15" s="93" t="s">
        <v>76</v>
      </c>
      <c r="BC15" s="99" t="s">
        <v>75</v>
      </c>
      <c r="BD15" s="9" t="str">
        <f>$P$4</f>
        <v>0h 00m</v>
      </c>
      <c r="BE15" s="21" t="s">
        <v>68</v>
      </c>
      <c r="BF15" s="19">
        <v>0.28749999999999998</v>
      </c>
      <c r="BG15" s="10">
        <v>0.68194444444444446</v>
      </c>
      <c r="BH15" s="9" t="str">
        <f t="shared" si="29"/>
        <v>9h 28m</v>
      </c>
      <c r="BI15" s="21"/>
      <c r="BJ15" s="19">
        <v>0.29791666666666666</v>
      </c>
      <c r="BK15" s="10">
        <v>0.67847222222222225</v>
      </c>
      <c r="BL15" s="9" t="str">
        <f t="shared" si="27"/>
        <v>9h 08m</v>
      </c>
      <c r="BM15" s="21"/>
      <c r="BN15" s="19">
        <v>0.27291666666666664</v>
      </c>
      <c r="BO15" s="10">
        <v>0.67847222222222225</v>
      </c>
      <c r="BP15" s="9" t="str">
        <f t="shared" si="26"/>
        <v>9h 44m</v>
      </c>
      <c r="BQ15" s="21"/>
      <c r="BR15" s="93" t="s">
        <v>76</v>
      </c>
      <c r="BS15" s="99" t="s">
        <v>75</v>
      </c>
      <c r="BT15" s="9" t="str">
        <f>$P$4</f>
        <v>0h 00m</v>
      </c>
      <c r="BU15" s="101" t="s">
        <v>66</v>
      </c>
      <c r="BV15" s="19">
        <v>0.27083333333333331</v>
      </c>
      <c r="BW15" s="10">
        <v>0.67708333333333337</v>
      </c>
      <c r="BX15" s="11" t="str">
        <f t="shared" si="8"/>
        <v>9h 45m</v>
      </c>
      <c r="BY15" s="45"/>
      <c r="BZ15" s="105">
        <v>0.2951388888888889</v>
      </c>
      <c r="CA15" s="10">
        <v>0.68055555555555558</v>
      </c>
      <c r="CB15" s="9" t="str">
        <f t="shared" si="23"/>
        <v>9h 15m</v>
      </c>
      <c r="CC15" s="21"/>
      <c r="CD15" s="24"/>
      <c r="CE15" s="11"/>
      <c r="CF15" s="9" t="str">
        <f t="shared" si="24"/>
        <v>0h 00m</v>
      </c>
      <c r="CG15" s="21"/>
      <c r="CH15" s="19">
        <v>0.29444444444444445</v>
      </c>
      <c r="CI15" s="10">
        <v>0.67847222222222225</v>
      </c>
      <c r="CJ15" s="9" t="str">
        <f t="shared" si="31"/>
        <v>9h 13m</v>
      </c>
      <c r="CK15" s="21"/>
      <c r="CL15" s="42"/>
      <c r="CM15" s="76"/>
      <c r="CN15" s="96"/>
    </row>
    <row r="16" spans="1:92" ht="15" thickBot="1" x14ac:dyDescent="0.35">
      <c r="A16" s="2" t="s">
        <v>45</v>
      </c>
      <c r="B16" s="130">
        <v>0.30208333333333331</v>
      </c>
      <c r="C16" s="142">
        <v>0.6875</v>
      </c>
      <c r="D16" s="8" t="str">
        <f t="shared" si="25"/>
        <v>9h 15m</v>
      </c>
      <c r="E16" s="160"/>
      <c r="F16" s="133"/>
      <c r="G16" s="131"/>
      <c r="H16" s="41" t="str">
        <f t="shared" si="1"/>
        <v>0h 00m</v>
      </c>
      <c r="I16" s="132"/>
      <c r="J16" s="147" t="s">
        <v>86</v>
      </c>
      <c r="K16" s="148" t="s">
        <v>97</v>
      </c>
      <c r="L16" s="8" t="str">
        <f t="shared" si="12"/>
        <v>9h 11m</v>
      </c>
      <c r="M16" s="20"/>
      <c r="N16" s="19">
        <v>0.27152777777777776</v>
      </c>
      <c r="O16" s="10">
        <v>0.6791666666666667</v>
      </c>
      <c r="P16" s="9" t="str">
        <f t="shared" si="17"/>
        <v>9h 47m</v>
      </c>
      <c r="Q16" s="21"/>
      <c r="R16" s="24"/>
      <c r="S16" s="11"/>
      <c r="T16" s="9" t="str">
        <f t="shared" si="13"/>
        <v>0h 00m</v>
      </c>
      <c r="U16" s="21"/>
      <c r="V16" s="23">
        <v>0.29583333333333334</v>
      </c>
      <c r="W16" s="7">
        <v>0.69791666666666663</v>
      </c>
      <c r="X16" s="9" t="str">
        <f t="shared" si="14"/>
        <v>9h 39m</v>
      </c>
      <c r="Y16" s="21"/>
      <c r="Z16" s="19">
        <v>0.28125</v>
      </c>
      <c r="AA16" s="10">
        <v>0.68819444444444444</v>
      </c>
      <c r="AB16" s="9" t="str">
        <f t="shared" si="18"/>
        <v>9h 46m</v>
      </c>
      <c r="AC16" s="21"/>
      <c r="AD16" s="19">
        <v>0.28958333333333336</v>
      </c>
      <c r="AE16" s="10">
        <v>0.68125000000000002</v>
      </c>
      <c r="AF16" s="9" t="str">
        <f t="shared" si="19"/>
        <v>9h 24m</v>
      </c>
      <c r="AG16" s="21"/>
      <c r="AH16" s="93" t="s">
        <v>76</v>
      </c>
      <c r="AI16" s="99" t="s">
        <v>75</v>
      </c>
      <c r="AJ16" s="9" t="str">
        <f>$P$4</f>
        <v>0h 00m</v>
      </c>
      <c r="AK16" s="21" t="s">
        <v>71</v>
      </c>
      <c r="AL16" s="19">
        <v>0.2951388888888889</v>
      </c>
      <c r="AM16" s="10">
        <v>0.67708333333333337</v>
      </c>
      <c r="AN16" s="9" t="str">
        <f t="shared" si="15"/>
        <v>9h 10m</v>
      </c>
      <c r="AO16" s="21"/>
      <c r="AP16" s="25">
        <v>0.27638888888888891</v>
      </c>
      <c r="AQ16" s="12">
        <v>0.67708333333333337</v>
      </c>
      <c r="AR16" s="9" t="str">
        <f t="shared" si="16"/>
        <v>9h 37m</v>
      </c>
      <c r="AS16" s="21"/>
      <c r="AT16" s="19">
        <v>0.29166666666666669</v>
      </c>
      <c r="AU16" s="10">
        <v>0.67777777777777781</v>
      </c>
      <c r="AV16" s="9" t="str">
        <f t="shared" si="21"/>
        <v>9h 16m</v>
      </c>
      <c r="AW16" s="21"/>
      <c r="AX16" s="19">
        <v>0.28472222222222221</v>
      </c>
      <c r="AY16" s="10">
        <v>0.68125000000000002</v>
      </c>
      <c r="AZ16" s="9" t="str">
        <f t="shared" si="22"/>
        <v>9h 31m</v>
      </c>
      <c r="BA16" s="21"/>
      <c r="BB16" s="93" t="s">
        <v>76</v>
      </c>
      <c r="BC16" s="99" t="s">
        <v>75</v>
      </c>
      <c r="BD16" s="9" t="str">
        <f>$P$4</f>
        <v>0h 00m</v>
      </c>
      <c r="BE16" s="21" t="s">
        <v>68</v>
      </c>
      <c r="BF16" s="19">
        <v>0.28819444444444442</v>
      </c>
      <c r="BG16" s="10">
        <v>0.67708333333333337</v>
      </c>
      <c r="BH16" s="9" t="str">
        <f t="shared" si="29"/>
        <v>9h 20m</v>
      </c>
      <c r="BI16" s="21"/>
      <c r="BJ16" s="19">
        <v>0.29791666666666666</v>
      </c>
      <c r="BK16" s="10">
        <v>0.6791666666666667</v>
      </c>
      <c r="BL16" s="9" t="str">
        <f t="shared" si="27"/>
        <v>9h 09m</v>
      </c>
      <c r="BM16" s="21"/>
      <c r="BN16" s="19">
        <v>0.28749999999999998</v>
      </c>
      <c r="BO16" s="10">
        <v>0.67708333333333337</v>
      </c>
      <c r="BP16" s="9" t="str">
        <f t="shared" si="26"/>
        <v>9h 21m</v>
      </c>
      <c r="BQ16" s="21"/>
      <c r="BR16" s="93" t="s">
        <v>76</v>
      </c>
      <c r="BS16" s="99" t="s">
        <v>75</v>
      </c>
      <c r="BT16" s="9" t="str">
        <f>$P$4</f>
        <v>0h 00m</v>
      </c>
      <c r="BU16" s="101" t="s">
        <v>66</v>
      </c>
      <c r="BV16" s="19">
        <v>0.27083333333333331</v>
      </c>
      <c r="BW16" s="10">
        <v>0.67708333333333337</v>
      </c>
      <c r="BX16" s="11" t="str">
        <f t="shared" si="8"/>
        <v>9h 45m</v>
      </c>
      <c r="BY16" s="45"/>
      <c r="BZ16" s="105">
        <v>0.28472222222222221</v>
      </c>
      <c r="CA16" s="10">
        <v>0.68055555555555558</v>
      </c>
      <c r="CB16" s="9" t="str">
        <f t="shared" si="23"/>
        <v>9h 30m</v>
      </c>
      <c r="CC16" s="21"/>
      <c r="CD16" s="19">
        <v>0.30208333333333331</v>
      </c>
      <c r="CE16" s="10">
        <v>0.68402777777777779</v>
      </c>
      <c r="CF16" s="9" t="str">
        <f t="shared" si="24"/>
        <v>9h 10m</v>
      </c>
      <c r="CG16" s="21"/>
      <c r="CH16" s="19">
        <v>0.3034722222222222</v>
      </c>
      <c r="CI16" s="10">
        <v>0.68333333333333335</v>
      </c>
      <c r="CJ16" s="9" t="str">
        <f t="shared" si="31"/>
        <v>9h 07m</v>
      </c>
      <c r="CK16" s="21"/>
      <c r="CL16" s="42"/>
      <c r="CM16" s="76"/>
      <c r="CN16" s="95"/>
    </row>
    <row r="17" spans="1:92" ht="15" thickBot="1" x14ac:dyDescent="0.35">
      <c r="A17" s="2" t="s">
        <v>46</v>
      </c>
      <c r="B17" s="130">
        <v>0.30208333333333331</v>
      </c>
      <c r="C17" s="142">
        <v>0.67777777777777781</v>
      </c>
      <c r="D17" s="8" t="str">
        <f t="shared" si="25"/>
        <v>9h 01m</v>
      </c>
      <c r="E17" s="160"/>
      <c r="F17" s="133"/>
      <c r="G17" s="131"/>
      <c r="H17" s="41" t="str">
        <f t="shared" si="1"/>
        <v>0h 00m</v>
      </c>
      <c r="I17" s="132"/>
      <c r="J17" s="147" t="s">
        <v>80</v>
      </c>
      <c r="K17" s="148" t="s">
        <v>89</v>
      </c>
      <c r="L17" s="8" t="str">
        <f t="shared" si="12"/>
        <v>9h 12m</v>
      </c>
      <c r="M17" s="20"/>
      <c r="N17" s="19">
        <v>0.27500000000000002</v>
      </c>
      <c r="O17" s="10">
        <v>0.67777777777777781</v>
      </c>
      <c r="P17" s="9" t="str">
        <f t="shared" si="17"/>
        <v>9h 40m</v>
      </c>
      <c r="Q17" s="21"/>
      <c r="R17" s="19"/>
      <c r="S17" s="10"/>
      <c r="T17" s="9" t="str">
        <f t="shared" si="13"/>
        <v>0h 00m</v>
      </c>
      <c r="U17" s="21"/>
      <c r="V17" s="23">
        <v>0.29722222222222222</v>
      </c>
      <c r="W17" s="7">
        <v>0.67847222222222225</v>
      </c>
      <c r="X17" s="9" t="str">
        <f t="shared" si="14"/>
        <v>9h 09m</v>
      </c>
      <c r="Y17" s="21"/>
      <c r="Z17" s="19">
        <v>0.27777777777777779</v>
      </c>
      <c r="AA17" s="10">
        <v>0.68680555555555556</v>
      </c>
      <c r="AB17" s="9" t="str">
        <f t="shared" si="18"/>
        <v>9h 49m</v>
      </c>
      <c r="AC17" s="21"/>
      <c r="AD17" s="19">
        <v>0.28888888888888886</v>
      </c>
      <c r="AE17" s="10">
        <v>0.68472222222222223</v>
      </c>
      <c r="AF17" s="9" t="str">
        <f t="shared" si="19"/>
        <v>9h 30m</v>
      </c>
      <c r="AG17" s="21"/>
      <c r="AH17" s="93" t="s">
        <v>76</v>
      </c>
      <c r="AI17" s="99" t="s">
        <v>75</v>
      </c>
      <c r="AJ17" s="9" t="str">
        <f>$P$4</f>
        <v>0h 00m</v>
      </c>
      <c r="AK17" s="21" t="s">
        <v>71</v>
      </c>
      <c r="AL17" s="19">
        <v>0.28958333333333336</v>
      </c>
      <c r="AM17" s="10">
        <v>0.68472222222222223</v>
      </c>
      <c r="AN17" s="9" t="str">
        <f t="shared" si="15"/>
        <v>9h 29m</v>
      </c>
      <c r="AO17" s="21"/>
      <c r="AP17" s="19">
        <v>0.25347222222222221</v>
      </c>
      <c r="AQ17" s="10">
        <v>0.68263888888888891</v>
      </c>
      <c r="AR17" s="9" t="str">
        <f t="shared" si="16"/>
        <v>10h 18m</v>
      </c>
      <c r="AS17" s="21"/>
      <c r="AT17" s="19">
        <v>0.29166666666666669</v>
      </c>
      <c r="AU17" s="10">
        <v>0.67777777777777781</v>
      </c>
      <c r="AV17" s="9" t="str">
        <f t="shared" si="21"/>
        <v>9h 16m</v>
      </c>
      <c r="AW17" s="21"/>
      <c r="AX17" s="19">
        <v>0.28611111111111109</v>
      </c>
      <c r="AY17" s="10">
        <v>0.67777777777777781</v>
      </c>
      <c r="AZ17" s="9" t="str">
        <f t="shared" si="22"/>
        <v>9h 24m</v>
      </c>
      <c r="BA17" s="21"/>
      <c r="BB17" s="93" t="s">
        <v>76</v>
      </c>
      <c r="BC17" s="99" t="s">
        <v>75</v>
      </c>
      <c r="BD17" s="9" t="str">
        <f>$P$4</f>
        <v>0h 00m</v>
      </c>
      <c r="BE17" s="21" t="s">
        <v>68</v>
      </c>
      <c r="BF17" s="19">
        <v>0.28958333333333336</v>
      </c>
      <c r="BG17" s="10">
        <v>0.67708333333333337</v>
      </c>
      <c r="BH17" s="9" t="str">
        <f t="shared" si="29"/>
        <v>9h 18m</v>
      </c>
      <c r="BI17" s="21"/>
      <c r="BJ17" s="19">
        <v>0.29791666666666666</v>
      </c>
      <c r="BK17" s="10">
        <v>0.67708333333333337</v>
      </c>
      <c r="BL17" s="9" t="str">
        <f t="shared" si="27"/>
        <v>9h 06m</v>
      </c>
      <c r="BM17" s="21"/>
      <c r="BN17" s="19">
        <v>0.28611111111111109</v>
      </c>
      <c r="BO17" s="10">
        <v>0.67777777777777781</v>
      </c>
      <c r="BP17" s="9" t="str">
        <f t="shared" si="26"/>
        <v>9h 24m</v>
      </c>
      <c r="BQ17" s="21"/>
      <c r="BR17" s="93" t="s">
        <v>76</v>
      </c>
      <c r="BS17" s="99" t="s">
        <v>75</v>
      </c>
      <c r="BT17" s="9" t="str">
        <f>$P$4</f>
        <v>0h 00m</v>
      </c>
      <c r="BU17" s="101" t="s">
        <v>66</v>
      </c>
      <c r="BV17" s="19">
        <v>0.2638888888888889</v>
      </c>
      <c r="BW17" s="10">
        <v>0.68055555555555558</v>
      </c>
      <c r="BX17" s="11" t="str">
        <f t="shared" si="8"/>
        <v>10h 00m</v>
      </c>
      <c r="BY17" s="45"/>
      <c r="BZ17" s="105">
        <v>0.28819444444444442</v>
      </c>
      <c r="CA17" s="10">
        <v>0.68055555555555558</v>
      </c>
      <c r="CB17" s="9" t="str">
        <f t="shared" si="23"/>
        <v>9h 25m</v>
      </c>
      <c r="CC17" s="21"/>
      <c r="CD17" s="19"/>
      <c r="CE17" s="10"/>
      <c r="CF17" s="9" t="str">
        <f t="shared" si="24"/>
        <v>0h 00m</v>
      </c>
      <c r="CG17" s="21"/>
      <c r="CH17" s="19">
        <v>0.2951388888888889</v>
      </c>
      <c r="CI17" s="10">
        <v>0.68055555555555558</v>
      </c>
      <c r="CJ17" s="9" t="str">
        <f t="shared" si="31"/>
        <v>9h 15m</v>
      </c>
      <c r="CK17" s="21"/>
      <c r="CL17" s="42"/>
      <c r="CM17" s="76"/>
      <c r="CN17" s="95"/>
    </row>
    <row r="18" spans="1:92" s="29" customFormat="1" ht="15" thickBot="1" x14ac:dyDescent="0.35">
      <c r="A18" s="2" t="s">
        <v>47</v>
      </c>
      <c r="B18" s="127"/>
      <c r="C18" s="128"/>
      <c r="D18" s="49" t="str">
        <f t="shared" si="25"/>
        <v>0h 00m</v>
      </c>
      <c r="E18" s="159"/>
      <c r="F18" s="127"/>
      <c r="G18" s="128"/>
      <c r="H18" s="168" t="str">
        <f t="shared" si="1"/>
        <v>0h 00m</v>
      </c>
      <c r="I18" s="129"/>
      <c r="J18" s="149"/>
      <c r="K18" s="150"/>
      <c r="L18" s="49" t="str">
        <f t="shared" si="12"/>
        <v>0h 00m</v>
      </c>
      <c r="M18" s="50"/>
      <c r="N18" s="47"/>
      <c r="O18" s="48"/>
      <c r="P18" s="51" t="str">
        <f t="shared" si="17"/>
        <v>0h 00m</v>
      </c>
      <c r="Q18" s="52"/>
      <c r="R18" s="47"/>
      <c r="S18" s="48"/>
      <c r="T18" s="51" t="str">
        <f t="shared" si="13"/>
        <v>0h 00m</v>
      </c>
      <c r="U18" s="52"/>
      <c r="V18" s="56"/>
      <c r="W18" s="61"/>
      <c r="X18" s="51" t="str">
        <f t="shared" si="14"/>
        <v>0h 00m</v>
      </c>
      <c r="Y18" s="52"/>
      <c r="Z18" s="47"/>
      <c r="AA18" s="48"/>
      <c r="AB18" s="51" t="str">
        <f t="shared" si="18"/>
        <v>0h 00m</v>
      </c>
      <c r="AC18" s="52"/>
      <c r="AD18" s="47"/>
      <c r="AE18" s="48"/>
      <c r="AF18" s="51" t="str">
        <f t="shared" si="19"/>
        <v>0h 00m</v>
      </c>
      <c r="AG18" s="52"/>
      <c r="AH18" s="47"/>
      <c r="AI18" s="48"/>
      <c r="AJ18" s="51" t="str">
        <f t="shared" si="20"/>
        <v>0h 00m</v>
      </c>
      <c r="AK18" s="52"/>
      <c r="AL18" s="47"/>
      <c r="AM18" s="48"/>
      <c r="AN18" s="51" t="str">
        <f t="shared" si="15"/>
        <v>0h 00m</v>
      </c>
      <c r="AO18" s="52"/>
      <c r="AP18" s="47"/>
      <c r="AQ18" s="48"/>
      <c r="AR18" s="51" t="str">
        <f t="shared" si="16"/>
        <v>0h 00m</v>
      </c>
      <c r="AS18" s="52"/>
      <c r="AT18" s="47"/>
      <c r="AU18" s="48"/>
      <c r="AV18" s="51" t="str">
        <f t="shared" si="21"/>
        <v>0h 00m</v>
      </c>
      <c r="AW18" s="52"/>
      <c r="AX18" s="47"/>
      <c r="AY18" s="48"/>
      <c r="AZ18" s="51" t="str">
        <f t="shared" si="22"/>
        <v>0h 00m</v>
      </c>
      <c r="BA18" s="52"/>
      <c r="BB18" s="47"/>
      <c r="BC18" s="48"/>
      <c r="BD18" s="51" t="str">
        <f t="shared" si="28"/>
        <v>0h 00m</v>
      </c>
      <c r="BE18" s="52"/>
      <c r="BF18" s="47"/>
      <c r="BG18" s="48"/>
      <c r="BH18" s="51" t="str">
        <f t="shared" si="29"/>
        <v>0h 00m</v>
      </c>
      <c r="BI18" s="52"/>
      <c r="BJ18" s="47"/>
      <c r="BK18" s="48"/>
      <c r="BL18" s="51" t="str">
        <f t="shared" si="27"/>
        <v>0h 00m</v>
      </c>
      <c r="BM18" s="52"/>
      <c r="BN18" s="47"/>
      <c r="BO18" s="48"/>
      <c r="BP18" s="51" t="str">
        <f t="shared" si="26"/>
        <v>0h 00m</v>
      </c>
      <c r="BQ18" s="52"/>
      <c r="BR18" s="47"/>
      <c r="BS18" s="48"/>
      <c r="BT18" s="51" t="str">
        <f t="shared" si="30"/>
        <v>0h 00m</v>
      </c>
      <c r="BU18" s="102"/>
      <c r="BV18" s="57"/>
      <c r="BW18" s="58"/>
      <c r="BX18" s="58" t="str">
        <f t="shared" si="8"/>
        <v>0h 00m</v>
      </c>
      <c r="BY18" s="108"/>
      <c r="BZ18" s="106"/>
      <c r="CA18" s="48"/>
      <c r="CB18" s="51" t="str">
        <f t="shared" si="23"/>
        <v>0h 00m</v>
      </c>
      <c r="CC18" s="52"/>
      <c r="CD18" s="57"/>
      <c r="CE18" s="58"/>
      <c r="CF18" s="51" t="str">
        <f t="shared" si="24"/>
        <v>0h 00m</v>
      </c>
      <c r="CG18" s="52"/>
      <c r="CH18" s="47"/>
      <c r="CI18" s="48"/>
      <c r="CJ18" s="51" t="str">
        <f t="shared" si="31"/>
        <v>0h 00m</v>
      </c>
      <c r="CK18" s="52"/>
      <c r="CL18" s="72"/>
      <c r="CM18" s="77"/>
      <c r="CN18" s="96"/>
    </row>
    <row r="19" spans="1:92" s="29" customFormat="1" ht="15" thickBot="1" x14ac:dyDescent="0.35">
      <c r="A19" s="2" t="s">
        <v>48</v>
      </c>
      <c r="B19" s="127"/>
      <c r="C19" s="128"/>
      <c r="D19" s="49" t="str">
        <f t="shared" si="25"/>
        <v>0h 00m</v>
      </c>
      <c r="E19" s="159"/>
      <c r="F19" s="127"/>
      <c r="G19" s="128"/>
      <c r="H19" s="168" t="str">
        <f t="shared" si="1"/>
        <v>0h 00m</v>
      </c>
      <c r="I19" s="129"/>
      <c r="J19" s="149"/>
      <c r="K19" s="150"/>
      <c r="L19" s="49" t="str">
        <f t="shared" si="12"/>
        <v>0h 00m</v>
      </c>
      <c r="M19" s="50"/>
      <c r="N19" s="47"/>
      <c r="O19" s="48"/>
      <c r="P19" s="51" t="str">
        <f t="shared" si="17"/>
        <v>0h 00m</v>
      </c>
      <c r="Q19" s="52"/>
      <c r="R19" s="47"/>
      <c r="S19" s="48"/>
      <c r="T19" s="51" t="str">
        <f t="shared" si="13"/>
        <v>0h 00m</v>
      </c>
      <c r="U19" s="52"/>
      <c r="V19" s="56"/>
      <c r="W19" s="61"/>
      <c r="X19" s="51" t="str">
        <f t="shared" si="14"/>
        <v>0h 00m</v>
      </c>
      <c r="Y19" s="52"/>
      <c r="Z19" s="47"/>
      <c r="AA19" s="48"/>
      <c r="AB19" s="51" t="str">
        <f t="shared" si="18"/>
        <v>0h 00m</v>
      </c>
      <c r="AC19" s="52"/>
      <c r="AD19" s="47"/>
      <c r="AE19" s="48"/>
      <c r="AF19" s="51" t="str">
        <f t="shared" si="19"/>
        <v>0h 00m</v>
      </c>
      <c r="AG19" s="52"/>
      <c r="AH19" s="47"/>
      <c r="AI19" s="48"/>
      <c r="AJ19" s="51" t="str">
        <f t="shared" si="20"/>
        <v>0h 00m</v>
      </c>
      <c r="AK19" s="52"/>
      <c r="AL19" s="47"/>
      <c r="AM19" s="48"/>
      <c r="AN19" s="51" t="str">
        <f t="shared" si="15"/>
        <v>0h 00m</v>
      </c>
      <c r="AO19" s="52"/>
      <c r="AP19" s="47"/>
      <c r="AQ19" s="48"/>
      <c r="AR19" s="51" t="str">
        <f t="shared" si="16"/>
        <v>0h 00m</v>
      </c>
      <c r="AS19" s="52"/>
      <c r="AT19" s="47"/>
      <c r="AU19" s="48"/>
      <c r="AV19" s="51" t="str">
        <f t="shared" si="21"/>
        <v>0h 00m</v>
      </c>
      <c r="AW19" s="52"/>
      <c r="AX19" s="47"/>
      <c r="AY19" s="48"/>
      <c r="AZ19" s="51" t="str">
        <f t="shared" si="22"/>
        <v>0h 00m</v>
      </c>
      <c r="BA19" s="52"/>
      <c r="BB19" s="47"/>
      <c r="BC19" s="48"/>
      <c r="BD19" s="51" t="str">
        <f t="shared" si="28"/>
        <v>0h 00m</v>
      </c>
      <c r="BE19" s="52"/>
      <c r="BF19" s="47"/>
      <c r="BG19" s="48"/>
      <c r="BH19" s="51" t="str">
        <f t="shared" si="29"/>
        <v>0h 00m</v>
      </c>
      <c r="BI19" s="52"/>
      <c r="BJ19" s="47"/>
      <c r="BK19" s="48"/>
      <c r="BL19" s="51" t="str">
        <f t="shared" si="27"/>
        <v>0h 00m</v>
      </c>
      <c r="BM19" s="52"/>
      <c r="BN19" s="47"/>
      <c r="BO19" s="48"/>
      <c r="BP19" s="51" t="str">
        <f t="shared" si="26"/>
        <v>0h 00m</v>
      </c>
      <c r="BQ19" s="52"/>
      <c r="BR19" s="47"/>
      <c r="BS19" s="48"/>
      <c r="BT19" s="51" t="str">
        <f t="shared" si="30"/>
        <v>0h 00m</v>
      </c>
      <c r="BU19" s="102"/>
      <c r="BV19" s="57"/>
      <c r="BW19" s="58"/>
      <c r="BX19" s="58" t="str">
        <f t="shared" si="8"/>
        <v>0h 00m</v>
      </c>
      <c r="BY19" s="108"/>
      <c r="BZ19" s="106"/>
      <c r="CA19" s="48"/>
      <c r="CB19" s="51" t="str">
        <f t="shared" si="23"/>
        <v>0h 00m</v>
      </c>
      <c r="CC19" s="52"/>
      <c r="CD19" s="47"/>
      <c r="CE19" s="48"/>
      <c r="CF19" s="51" t="str">
        <f t="shared" si="24"/>
        <v>0h 00m</v>
      </c>
      <c r="CG19" s="52"/>
      <c r="CH19" s="47"/>
      <c r="CI19" s="48"/>
      <c r="CJ19" s="51" t="str">
        <f t="shared" si="31"/>
        <v>0h 00m</v>
      </c>
      <c r="CK19" s="52"/>
      <c r="CL19" s="72"/>
      <c r="CM19" s="77"/>
      <c r="CN19" s="96"/>
    </row>
    <row r="20" spans="1:92" ht="15" thickBot="1" x14ac:dyDescent="0.35">
      <c r="A20" s="2" t="s">
        <v>49</v>
      </c>
      <c r="B20" s="130">
        <v>0.30694444444444446</v>
      </c>
      <c r="C20" s="142">
        <v>0.6791666666666667</v>
      </c>
      <c r="D20" s="8" t="str">
        <f t="shared" si="25"/>
        <v>8h 56m</v>
      </c>
      <c r="E20" s="160"/>
      <c r="F20" s="133"/>
      <c r="G20" s="131"/>
      <c r="H20" s="41" t="str">
        <f t="shared" si="1"/>
        <v>0h 00m</v>
      </c>
      <c r="I20" s="132"/>
      <c r="J20" s="147" t="s">
        <v>98</v>
      </c>
      <c r="K20" s="148" t="s">
        <v>100</v>
      </c>
      <c r="L20" s="8" t="str">
        <f t="shared" si="12"/>
        <v>9h 08m</v>
      </c>
      <c r="M20" s="20"/>
      <c r="N20" s="19">
        <v>0.27013888888888887</v>
      </c>
      <c r="O20" s="10">
        <v>0.67986111111111114</v>
      </c>
      <c r="P20" s="9" t="str">
        <f t="shared" si="17"/>
        <v>9h 50m</v>
      </c>
      <c r="Q20" s="21"/>
      <c r="R20" s="19"/>
      <c r="S20" s="10"/>
      <c r="T20" s="9" t="str">
        <f t="shared" si="13"/>
        <v>0h 00m</v>
      </c>
      <c r="U20" s="21"/>
      <c r="V20" s="23">
        <v>0.29583333333333334</v>
      </c>
      <c r="W20" s="7">
        <v>0.67708333333333337</v>
      </c>
      <c r="X20" s="9" t="str">
        <f t="shared" si="14"/>
        <v>9h 09m</v>
      </c>
      <c r="Y20" s="21"/>
      <c r="Z20" s="153">
        <v>0.28333333333333333</v>
      </c>
      <c r="AA20" s="153">
        <v>0.5</v>
      </c>
      <c r="AB20" s="9" t="str">
        <f t="shared" si="18"/>
        <v>5h 12m</v>
      </c>
      <c r="AC20" s="21" t="s">
        <v>99</v>
      </c>
      <c r="AD20" s="19">
        <v>0.28680555555555554</v>
      </c>
      <c r="AE20" s="10">
        <v>0.68055555555555558</v>
      </c>
      <c r="AF20" s="9" t="str">
        <f t="shared" si="19"/>
        <v>9h 27m</v>
      </c>
      <c r="AG20" s="21"/>
      <c r="AH20" s="19">
        <v>0.29791666666666666</v>
      </c>
      <c r="AI20" s="10">
        <v>0.67777777777777781</v>
      </c>
      <c r="AJ20" s="9" t="str">
        <f t="shared" si="20"/>
        <v>9h 07m</v>
      </c>
      <c r="AK20" s="21"/>
      <c r="AL20" s="19">
        <v>0.29930555555555555</v>
      </c>
      <c r="AM20" s="10">
        <v>0.67777777777777781</v>
      </c>
      <c r="AN20" s="9" t="str">
        <f>TEXT(AM20-AL20,"h""h ""mm""m""")</f>
        <v>9h 05m</v>
      </c>
      <c r="AO20" s="21"/>
      <c r="AP20" s="19">
        <v>0.29305555555555557</v>
      </c>
      <c r="AQ20" s="10">
        <v>0.67708333333333337</v>
      </c>
      <c r="AR20" s="9" t="str">
        <f t="shared" si="16"/>
        <v>9h 13m</v>
      </c>
      <c r="AS20" s="21"/>
      <c r="AT20" s="19">
        <v>0.29166666666666669</v>
      </c>
      <c r="AU20" s="10">
        <v>0.67777777777777781</v>
      </c>
      <c r="AV20" s="9" t="str">
        <f t="shared" si="21"/>
        <v>9h 16m</v>
      </c>
      <c r="AW20" s="21"/>
      <c r="AX20" s="19">
        <v>0.29305555555555557</v>
      </c>
      <c r="AY20" s="10">
        <v>0.67847222222222225</v>
      </c>
      <c r="AZ20" s="9" t="str">
        <f t="shared" si="22"/>
        <v>9h 15m</v>
      </c>
      <c r="BA20" s="21"/>
      <c r="BB20" s="93" t="s">
        <v>76</v>
      </c>
      <c r="BC20" s="99" t="s">
        <v>75</v>
      </c>
      <c r="BD20" s="9" t="str">
        <f>$P$4</f>
        <v>0h 00m</v>
      </c>
      <c r="BE20" s="21" t="s">
        <v>102</v>
      </c>
      <c r="BF20" s="19">
        <v>0.28749999999999998</v>
      </c>
      <c r="BG20" s="10">
        <v>0.67986111111111114</v>
      </c>
      <c r="BH20" s="9" t="str">
        <f t="shared" si="29"/>
        <v>9h 25m</v>
      </c>
      <c r="BI20" s="21"/>
      <c r="BJ20" s="19">
        <v>0.2986111111111111</v>
      </c>
      <c r="BK20" s="10">
        <v>0.67847222222222225</v>
      </c>
      <c r="BL20" s="9" t="str">
        <f t="shared" si="27"/>
        <v>9h 07m</v>
      </c>
      <c r="BM20" s="21"/>
      <c r="BN20" s="19">
        <v>0.28749999999999998</v>
      </c>
      <c r="BO20" s="10">
        <v>0.67777777777777781</v>
      </c>
      <c r="BP20" s="9" t="str">
        <f t="shared" si="26"/>
        <v>9h 22m</v>
      </c>
      <c r="BQ20" s="21"/>
      <c r="BR20" s="93" t="s">
        <v>76</v>
      </c>
      <c r="BS20" s="99" t="s">
        <v>75</v>
      </c>
      <c r="BT20" s="9" t="str">
        <f>$P$4</f>
        <v>0h 00m</v>
      </c>
      <c r="BU20" s="101" t="s">
        <v>66</v>
      </c>
      <c r="BV20" s="19">
        <v>0.27083333333333331</v>
      </c>
      <c r="BW20" s="10">
        <v>0.68055555555555558</v>
      </c>
      <c r="BX20" s="11" t="str">
        <f t="shared" si="8"/>
        <v>9h 50m</v>
      </c>
      <c r="BY20" s="45"/>
      <c r="BZ20" s="105">
        <v>0.28819444444444442</v>
      </c>
      <c r="CA20" s="10">
        <v>0.67708333333333337</v>
      </c>
      <c r="CB20" s="9" t="str">
        <f t="shared" si="23"/>
        <v>9h 20m</v>
      </c>
      <c r="CC20" s="21"/>
      <c r="CD20" s="24"/>
      <c r="CE20" s="11"/>
      <c r="CF20" s="9" t="str">
        <f t="shared" si="24"/>
        <v>0h 00m</v>
      </c>
      <c r="CG20" s="21"/>
      <c r="CH20" s="19">
        <v>0.30069444444444443</v>
      </c>
      <c r="CI20" s="10">
        <v>0.67777777777777781</v>
      </c>
      <c r="CJ20" s="9" t="str">
        <f t="shared" si="31"/>
        <v>9h 03m</v>
      </c>
      <c r="CK20" s="21"/>
      <c r="CL20" s="42"/>
      <c r="CM20" s="76"/>
      <c r="CN20" s="95"/>
    </row>
    <row r="21" spans="1:92" s="29" customFormat="1" ht="15" thickBot="1" x14ac:dyDescent="0.35">
      <c r="A21" s="2" t="s">
        <v>50</v>
      </c>
      <c r="B21" s="130">
        <v>0.3034722222222222</v>
      </c>
      <c r="C21" s="142">
        <v>0.68333333333333335</v>
      </c>
      <c r="D21" s="8" t="str">
        <f t="shared" si="25"/>
        <v>9h 07m</v>
      </c>
      <c r="E21" s="160"/>
      <c r="F21" s="133"/>
      <c r="G21" s="131"/>
      <c r="H21" s="41" t="str">
        <f t="shared" si="1"/>
        <v>0h 00m</v>
      </c>
      <c r="I21" s="132"/>
      <c r="J21" s="147" t="s">
        <v>101</v>
      </c>
      <c r="K21" s="148" t="s">
        <v>103</v>
      </c>
      <c r="L21" s="8" t="str">
        <f t="shared" si="12"/>
        <v>9h 22m</v>
      </c>
      <c r="M21" s="20"/>
      <c r="N21" s="19">
        <v>0.28263888888888888</v>
      </c>
      <c r="O21" s="10">
        <v>0.6791666666666667</v>
      </c>
      <c r="P21" s="9" t="str">
        <f t="shared" si="17"/>
        <v>9h 31m</v>
      </c>
      <c r="Q21" s="21"/>
      <c r="R21" s="30"/>
      <c r="S21" s="31"/>
      <c r="T21" s="9" t="str">
        <f t="shared" si="13"/>
        <v>0h 00m</v>
      </c>
      <c r="U21" s="21"/>
      <c r="V21" s="23">
        <v>0.29583333333333334</v>
      </c>
      <c r="W21" s="7">
        <v>0.67847222222222225</v>
      </c>
      <c r="X21" s="9" t="str">
        <f t="shared" si="14"/>
        <v>9h 11m</v>
      </c>
      <c r="Y21" s="21"/>
      <c r="Z21" s="19">
        <v>0.27569444444444446</v>
      </c>
      <c r="AA21" s="10">
        <v>0.69097222222222221</v>
      </c>
      <c r="AB21" s="9" t="str">
        <f t="shared" si="18"/>
        <v>9h 58m</v>
      </c>
      <c r="AC21" s="21"/>
      <c r="AD21" s="19">
        <v>0.28680555555555554</v>
      </c>
      <c r="AE21" s="10">
        <v>0.68402777777777779</v>
      </c>
      <c r="AF21" s="9" t="str">
        <f t="shared" si="19"/>
        <v>9h 32m</v>
      </c>
      <c r="AG21" s="21"/>
      <c r="AH21" s="19">
        <v>0.30208333333333331</v>
      </c>
      <c r="AI21" s="10">
        <v>0.67777777777777781</v>
      </c>
      <c r="AJ21" s="9" t="str">
        <f t="shared" si="20"/>
        <v>9h 01m</v>
      </c>
      <c r="AK21" s="21"/>
      <c r="AL21" s="19">
        <v>0.29930555555555555</v>
      </c>
      <c r="AM21" s="10">
        <v>0.68819444444444444</v>
      </c>
      <c r="AN21" s="9" t="str">
        <f>TEXT(AM21-AL21,"h""h ""mm""m""")</f>
        <v>9h 20m</v>
      </c>
      <c r="AO21" s="21"/>
      <c r="AP21" s="19">
        <v>0.28194444444444444</v>
      </c>
      <c r="AQ21" s="10">
        <v>0.68819444444444444</v>
      </c>
      <c r="AR21" s="9" t="str">
        <f t="shared" si="16"/>
        <v>9h 45m</v>
      </c>
      <c r="AS21" s="21"/>
      <c r="AT21" s="19">
        <v>0.29166666666666669</v>
      </c>
      <c r="AU21" s="10">
        <v>0.67777777777777781</v>
      </c>
      <c r="AV21" s="9" t="str">
        <f t="shared" si="21"/>
        <v>9h 16m</v>
      </c>
      <c r="AW21" s="21"/>
      <c r="AX21" s="19">
        <v>0.28680555555555554</v>
      </c>
      <c r="AY21" s="10">
        <v>0.68194444444444446</v>
      </c>
      <c r="AZ21" s="9" t="str">
        <f t="shared" si="22"/>
        <v>9h 29m</v>
      </c>
      <c r="BA21" s="21"/>
      <c r="BB21" s="19">
        <v>0.29930555555555555</v>
      </c>
      <c r="BC21" s="10">
        <v>0.68055555555555558</v>
      </c>
      <c r="BD21" s="9" t="str">
        <f t="shared" si="28"/>
        <v>9h 09m</v>
      </c>
      <c r="BE21" s="21"/>
      <c r="BF21" s="19">
        <v>0.28749999999999998</v>
      </c>
      <c r="BG21" s="10">
        <v>0.67708333333333337</v>
      </c>
      <c r="BH21" s="9" t="str">
        <f t="shared" si="29"/>
        <v>9h 21m</v>
      </c>
      <c r="BI21" s="21"/>
      <c r="BJ21" s="19">
        <v>0.29791666666666666</v>
      </c>
      <c r="BK21" s="10">
        <v>0.67777777777777781</v>
      </c>
      <c r="BL21" s="9" t="str">
        <f t="shared" si="27"/>
        <v>9h 07m</v>
      </c>
      <c r="BM21" s="21"/>
      <c r="BN21" s="19">
        <v>0.28749999999999998</v>
      </c>
      <c r="BO21" s="10">
        <v>0.67708333333333337</v>
      </c>
      <c r="BP21" s="9" t="str">
        <f t="shared" si="26"/>
        <v>9h 21m</v>
      </c>
      <c r="BQ21" s="21"/>
      <c r="BR21" s="93" t="s">
        <v>76</v>
      </c>
      <c r="BS21" s="99" t="s">
        <v>75</v>
      </c>
      <c r="BT21" s="9" t="str">
        <f>$P$4</f>
        <v>0h 00m</v>
      </c>
      <c r="BU21" s="101" t="s">
        <v>66</v>
      </c>
      <c r="BV21" s="19">
        <v>0.27083333333333331</v>
      </c>
      <c r="BW21" s="10">
        <v>0.68055555555555558</v>
      </c>
      <c r="BX21" s="11" t="str">
        <f t="shared" si="8"/>
        <v>9h 50m</v>
      </c>
      <c r="BY21" s="45"/>
      <c r="BZ21" s="105">
        <v>0.29444444444444445</v>
      </c>
      <c r="CA21" s="10">
        <v>0.68402777777777779</v>
      </c>
      <c r="CB21" s="9" t="str">
        <f t="shared" si="23"/>
        <v>9h 21m</v>
      </c>
      <c r="CC21" s="21"/>
      <c r="CD21" s="19">
        <v>0.30416666666666664</v>
      </c>
      <c r="CE21" s="10">
        <v>0.68472222222222223</v>
      </c>
      <c r="CF21" s="9" t="str">
        <f t="shared" si="24"/>
        <v>9h 08m</v>
      </c>
      <c r="CG21" s="21"/>
      <c r="CH21" s="19">
        <v>0.29791666666666666</v>
      </c>
      <c r="CI21" s="10">
        <v>0.6791666666666667</v>
      </c>
      <c r="CJ21" s="9" t="str">
        <f t="shared" si="31"/>
        <v>9h 09m</v>
      </c>
      <c r="CK21" s="21"/>
      <c r="CL21" s="42"/>
      <c r="CM21" s="76"/>
      <c r="CN21" s="96"/>
    </row>
    <row r="22" spans="1:92" s="29" customFormat="1" ht="15" thickBot="1" x14ac:dyDescent="0.35">
      <c r="A22" s="2" t="s">
        <v>51</v>
      </c>
      <c r="B22" s="130">
        <v>0.30416666666666664</v>
      </c>
      <c r="C22" s="142">
        <v>0.68055555555555558</v>
      </c>
      <c r="D22" s="8" t="str">
        <f t="shared" si="25"/>
        <v>9h 02m</v>
      </c>
      <c r="E22" s="160"/>
      <c r="F22" s="130">
        <v>0.29097222222222224</v>
      </c>
      <c r="G22" s="142">
        <v>0.67708333333333337</v>
      </c>
      <c r="H22" s="41" t="str">
        <f t="shared" si="1"/>
        <v>9h 16m</v>
      </c>
      <c r="I22" s="132"/>
      <c r="J22" s="147" t="s">
        <v>88</v>
      </c>
      <c r="K22" s="148" t="s">
        <v>104</v>
      </c>
      <c r="L22" s="8" t="str">
        <f t="shared" si="12"/>
        <v>9h 14m</v>
      </c>
      <c r="M22" s="20"/>
      <c r="N22" s="19">
        <v>0.27083333333333331</v>
      </c>
      <c r="O22" s="10">
        <v>0.6791666666666667</v>
      </c>
      <c r="P22" s="9" t="str">
        <f t="shared" si="17"/>
        <v>9h 48m</v>
      </c>
      <c r="Q22" s="21"/>
      <c r="R22" s="24"/>
      <c r="S22" s="11"/>
      <c r="T22" s="9" t="str">
        <f t="shared" si="13"/>
        <v>0h 00m</v>
      </c>
      <c r="U22" s="21"/>
      <c r="V22" s="23">
        <v>0.29722222222222222</v>
      </c>
      <c r="W22" s="7">
        <v>0.6791666666666667</v>
      </c>
      <c r="X22" s="9" t="str">
        <f t="shared" si="14"/>
        <v>9h 10m</v>
      </c>
      <c r="Y22" s="21"/>
      <c r="Z22" s="19">
        <v>0.28263888888888888</v>
      </c>
      <c r="AA22" s="10">
        <v>0.68819444444444444</v>
      </c>
      <c r="AB22" s="9" t="str">
        <f t="shared" si="18"/>
        <v>9h 44m</v>
      </c>
      <c r="AC22" s="21"/>
      <c r="AD22" s="19">
        <v>0.29236111111111113</v>
      </c>
      <c r="AE22" s="10">
        <v>0.6791666666666667</v>
      </c>
      <c r="AF22" s="9" t="str">
        <f t="shared" si="19"/>
        <v>9h 17m</v>
      </c>
      <c r="AG22" s="21"/>
      <c r="AH22" s="19">
        <v>0.29444444444444445</v>
      </c>
      <c r="AI22" s="10">
        <v>0.67708333333333337</v>
      </c>
      <c r="AJ22" s="9" t="str">
        <f t="shared" si="20"/>
        <v>9h 11m</v>
      </c>
      <c r="AK22" s="21"/>
      <c r="AL22" s="19">
        <v>0.29375000000000001</v>
      </c>
      <c r="AM22" s="10">
        <v>0.67777777777777781</v>
      </c>
      <c r="AN22" s="9" t="str">
        <f t="shared" si="15"/>
        <v>9h 13m</v>
      </c>
      <c r="AO22" s="21"/>
      <c r="AP22" s="19">
        <v>0.27083333333333331</v>
      </c>
      <c r="AQ22" s="10">
        <v>0.67708333333333337</v>
      </c>
      <c r="AR22" s="9" t="str">
        <f t="shared" si="16"/>
        <v>9h 45m</v>
      </c>
      <c r="AS22" s="21"/>
      <c r="AT22" s="19">
        <v>0.29166666666666669</v>
      </c>
      <c r="AU22" s="10">
        <v>0.6791666666666667</v>
      </c>
      <c r="AV22" s="9" t="str">
        <f t="shared" si="21"/>
        <v>9h 18m</v>
      </c>
      <c r="AW22" s="21"/>
      <c r="AX22" s="19">
        <v>0.2902777777777778</v>
      </c>
      <c r="AY22" s="10">
        <v>0.67847222222222225</v>
      </c>
      <c r="AZ22" s="9" t="str">
        <f t="shared" si="22"/>
        <v>9h 19m</v>
      </c>
      <c r="BA22" s="21"/>
      <c r="BB22" s="19">
        <v>0.29791666666666666</v>
      </c>
      <c r="BC22" s="10">
        <v>0.68125000000000002</v>
      </c>
      <c r="BD22" s="9" t="str">
        <f t="shared" si="28"/>
        <v>9h 12m</v>
      </c>
      <c r="BE22" s="21"/>
      <c r="BF22" s="19">
        <v>0.28888888888888886</v>
      </c>
      <c r="BG22" s="10">
        <v>0.68333333333333335</v>
      </c>
      <c r="BH22" s="9" t="str">
        <f t="shared" si="29"/>
        <v>9h 28m</v>
      </c>
      <c r="BI22" s="21"/>
      <c r="BJ22" s="19">
        <v>0.29722222222222222</v>
      </c>
      <c r="BK22" s="10">
        <v>0.67777777777777781</v>
      </c>
      <c r="BL22" s="9" t="str">
        <f t="shared" si="27"/>
        <v>9h 08m</v>
      </c>
      <c r="BM22" s="21"/>
      <c r="BN22" s="19">
        <v>0.28680555555555554</v>
      </c>
      <c r="BO22" s="10">
        <v>0.6791666666666667</v>
      </c>
      <c r="BP22" s="9" t="str">
        <f t="shared" si="26"/>
        <v>9h 25m</v>
      </c>
      <c r="BQ22" s="21"/>
      <c r="BR22" s="93" t="s">
        <v>76</v>
      </c>
      <c r="BS22" s="99" t="s">
        <v>75</v>
      </c>
      <c r="BT22" s="9" t="str">
        <f>$P$4</f>
        <v>0h 00m</v>
      </c>
      <c r="BU22" s="101" t="s">
        <v>66</v>
      </c>
      <c r="BV22" s="19">
        <v>0.2638888888888889</v>
      </c>
      <c r="BW22" s="10">
        <v>0.68055555555555558</v>
      </c>
      <c r="BX22" s="11" t="str">
        <f t="shared" si="8"/>
        <v>10h 00m</v>
      </c>
      <c r="BY22" s="45"/>
      <c r="BZ22" s="105">
        <v>0.28125</v>
      </c>
      <c r="CA22" s="10">
        <v>0.4236111111111111</v>
      </c>
      <c r="CB22" s="9" t="str">
        <f t="shared" si="23"/>
        <v>3h 25m</v>
      </c>
      <c r="CC22" s="21"/>
      <c r="CD22" s="24"/>
      <c r="CE22" s="11"/>
      <c r="CF22" s="9" t="str">
        <f t="shared" si="24"/>
        <v>0h 00m</v>
      </c>
      <c r="CG22" s="21"/>
      <c r="CH22" s="19">
        <v>0.30069444444444443</v>
      </c>
      <c r="CI22" s="10">
        <v>0.6791666666666667</v>
      </c>
      <c r="CJ22" s="9" t="str">
        <f t="shared" si="31"/>
        <v>9h 05m</v>
      </c>
      <c r="CK22" s="21"/>
      <c r="CL22" s="42"/>
      <c r="CM22" s="76"/>
      <c r="CN22" s="96"/>
    </row>
    <row r="23" spans="1:92" ht="15" thickBot="1" x14ac:dyDescent="0.35">
      <c r="A23" s="2" t="s">
        <v>52</v>
      </c>
      <c r="B23" s="130">
        <v>0.30069444444444443</v>
      </c>
      <c r="C23" s="142">
        <v>0.68402777777777779</v>
      </c>
      <c r="D23" s="8" t="str">
        <f t="shared" si="25"/>
        <v>9h 12m</v>
      </c>
      <c r="E23" s="160"/>
      <c r="F23" s="130">
        <v>0.29166666666666669</v>
      </c>
      <c r="G23" s="142">
        <v>0.68055555555555558</v>
      </c>
      <c r="H23" s="41" t="str">
        <f t="shared" si="1"/>
        <v>9h 20m</v>
      </c>
      <c r="I23" s="132"/>
      <c r="J23" s="147" t="s">
        <v>105</v>
      </c>
      <c r="K23" s="148" t="s">
        <v>106</v>
      </c>
      <c r="L23" s="8" t="str">
        <f t="shared" si="12"/>
        <v>9h 04m</v>
      </c>
      <c r="M23" s="21"/>
      <c r="N23" s="19">
        <v>0.27013888888888887</v>
      </c>
      <c r="O23" s="10">
        <v>0.6791666666666667</v>
      </c>
      <c r="P23" s="9" t="str">
        <f t="shared" si="17"/>
        <v>9h 49m</v>
      </c>
      <c r="Q23" s="21"/>
      <c r="R23" s="19"/>
      <c r="S23" s="10"/>
      <c r="T23" s="9" t="str">
        <f>TEXT(S23-R23,"h""h ""mm""m""")</f>
        <v>0h 00m</v>
      </c>
      <c r="U23" s="21"/>
      <c r="V23" s="23">
        <v>0.29652777777777778</v>
      </c>
      <c r="W23" s="7">
        <v>0.67847222222222225</v>
      </c>
      <c r="X23" s="9" t="str">
        <f t="shared" si="14"/>
        <v>9h 10m</v>
      </c>
      <c r="Y23" s="21"/>
      <c r="Z23" s="19">
        <v>0.28125</v>
      </c>
      <c r="AA23" s="10">
        <v>0.58472222222222225</v>
      </c>
      <c r="AB23" s="9" t="str">
        <f t="shared" si="18"/>
        <v>7h 17m</v>
      </c>
      <c r="AC23" s="21"/>
      <c r="AD23" s="19">
        <v>0.29444444444444445</v>
      </c>
      <c r="AE23" s="10">
        <v>0.67847222222222225</v>
      </c>
      <c r="AF23" s="9" t="str">
        <f t="shared" si="19"/>
        <v>9h 13m</v>
      </c>
      <c r="AG23" s="21"/>
      <c r="AH23" s="19">
        <v>0.30069444444444443</v>
      </c>
      <c r="AI23" s="10">
        <v>0.67777777777777781</v>
      </c>
      <c r="AJ23" s="9" t="str">
        <f t="shared" si="20"/>
        <v>9h 03m</v>
      </c>
      <c r="AK23" s="21"/>
      <c r="AL23" s="19">
        <v>0.2986111111111111</v>
      </c>
      <c r="AM23" s="10">
        <v>0.67847222222222225</v>
      </c>
      <c r="AN23" s="9" t="str">
        <f t="shared" si="15"/>
        <v>9h 07m</v>
      </c>
      <c r="AO23" s="21"/>
      <c r="AP23" s="19">
        <v>0.28055555555555556</v>
      </c>
      <c r="AQ23" s="10">
        <v>0.67638888888888893</v>
      </c>
      <c r="AR23" s="9" t="str">
        <f t="shared" si="16"/>
        <v>9h 30m</v>
      </c>
      <c r="AS23" s="21"/>
      <c r="AT23" s="19">
        <v>0.29166666666666669</v>
      </c>
      <c r="AU23" s="10">
        <v>0.6791666666666667</v>
      </c>
      <c r="AV23" s="9" t="str">
        <f t="shared" si="21"/>
        <v>9h 18m</v>
      </c>
      <c r="AW23" s="21"/>
      <c r="AX23" s="19">
        <v>0.28680555555555554</v>
      </c>
      <c r="AY23" s="10">
        <v>0.6791666666666667</v>
      </c>
      <c r="AZ23" s="9" t="str">
        <f t="shared" si="22"/>
        <v>9h 25m</v>
      </c>
      <c r="BA23" s="21"/>
      <c r="BB23" s="19">
        <v>0.30138888888888887</v>
      </c>
      <c r="BC23" s="10">
        <v>0.67986111111111114</v>
      </c>
      <c r="BD23" s="9" t="str">
        <f t="shared" si="28"/>
        <v>9h 05m</v>
      </c>
      <c r="BE23" s="21"/>
      <c r="BF23" s="19">
        <v>0.29444444444444445</v>
      </c>
      <c r="BG23" s="10">
        <v>0.67847222222222225</v>
      </c>
      <c r="BH23" s="9" t="str">
        <f t="shared" si="29"/>
        <v>9h 13m</v>
      </c>
      <c r="BI23" s="21"/>
      <c r="BJ23" s="19">
        <v>0.2986111111111111</v>
      </c>
      <c r="BK23" s="10">
        <v>0.67777777777777781</v>
      </c>
      <c r="BL23" s="9" t="str">
        <f t="shared" si="27"/>
        <v>9h 06m</v>
      </c>
      <c r="BM23" s="21"/>
      <c r="BN23" s="19">
        <v>0.29097222222222224</v>
      </c>
      <c r="BO23" s="10">
        <v>0.6791666666666667</v>
      </c>
      <c r="BP23" s="9" t="str">
        <f t="shared" si="26"/>
        <v>9h 19m</v>
      </c>
      <c r="BQ23" s="21"/>
      <c r="BR23" s="93" t="s">
        <v>76</v>
      </c>
      <c r="BS23" s="99" t="s">
        <v>75</v>
      </c>
      <c r="BT23" s="9" t="str">
        <f>$P$4</f>
        <v>0h 00m</v>
      </c>
      <c r="BU23" s="101" t="s">
        <v>66</v>
      </c>
      <c r="BV23" s="19">
        <v>0.27083333333333331</v>
      </c>
      <c r="BW23" s="10">
        <v>0.67708333333333337</v>
      </c>
      <c r="BX23" s="11" t="str">
        <f t="shared" si="8"/>
        <v>9h 45m</v>
      </c>
      <c r="BY23" s="45"/>
      <c r="BZ23" s="105">
        <v>0.28611111111111109</v>
      </c>
      <c r="CA23" s="10">
        <v>0.67847222222222225</v>
      </c>
      <c r="CB23" s="9" t="str">
        <f t="shared" si="23"/>
        <v>9h 25m</v>
      </c>
      <c r="CC23" s="21"/>
      <c r="CD23" s="19">
        <v>0.2986111111111111</v>
      </c>
      <c r="CE23" s="10">
        <v>0.68333333333333335</v>
      </c>
      <c r="CF23" s="9" t="str">
        <f t="shared" si="24"/>
        <v>9h 14m</v>
      </c>
      <c r="CG23" s="21"/>
      <c r="CH23" s="19">
        <v>0.2986111111111111</v>
      </c>
      <c r="CI23" s="10">
        <v>0.67500000000000004</v>
      </c>
      <c r="CJ23" s="9" t="str">
        <f t="shared" si="31"/>
        <v>9h 02m</v>
      </c>
      <c r="CK23" s="21"/>
      <c r="CL23" s="44"/>
      <c r="CM23" s="80"/>
      <c r="CN23" s="95"/>
    </row>
    <row r="24" spans="1:92" ht="15" thickBot="1" x14ac:dyDescent="0.35">
      <c r="A24" s="2" t="s">
        <v>53</v>
      </c>
      <c r="B24" s="130">
        <v>0.30138888888888887</v>
      </c>
      <c r="C24" s="142">
        <v>0.68125000000000002</v>
      </c>
      <c r="D24" s="8" t="str">
        <f t="shared" si="25"/>
        <v>9h 07m</v>
      </c>
      <c r="E24" s="160"/>
      <c r="F24" s="130">
        <v>0.2902777777777778</v>
      </c>
      <c r="G24" s="142">
        <v>0.6791666666666667</v>
      </c>
      <c r="H24" s="41" t="str">
        <f t="shared" si="1"/>
        <v>9h 20m</v>
      </c>
      <c r="I24" s="132"/>
      <c r="J24" s="154" t="s">
        <v>107</v>
      </c>
      <c r="K24" s="155" t="s">
        <v>109</v>
      </c>
      <c r="L24" s="8" t="str">
        <f>$L$21</f>
        <v>9h 22m</v>
      </c>
      <c r="M24" s="20"/>
      <c r="N24" s="19">
        <v>0.2722222222222222</v>
      </c>
      <c r="O24" s="10">
        <v>0.6791666666666667</v>
      </c>
      <c r="P24" s="9" t="str">
        <f t="shared" si="17"/>
        <v>9h 46m</v>
      </c>
      <c r="Q24" s="21"/>
      <c r="R24" s="19"/>
      <c r="S24" s="10"/>
      <c r="T24" s="9" t="str">
        <f t="shared" si="13"/>
        <v>0h 00m</v>
      </c>
      <c r="U24" s="21"/>
      <c r="V24" s="23">
        <v>0.29722222222222222</v>
      </c>
      <c r="W24" s="7">
        <v>0.73055555555555551</v>
      </c>
      <c r="X24" s="9" t="str">
        <f t="shared" si="14"/>
        <v>10h 24m</v>
      </c>
      <c r="Y24" s="21"/>
      <c r="Z24" s="19">
        <v>0.28333333333333333</v>
      </c>
      <c r="AA24" s="10">
        <v>0.6875</v>
      </c>
      <c r="AB24" s="9" t="str">
        <f t="shared" si="18"/>
        <v>9h 42m</v>
      </c>
      <c r="AC24" s="21"/>
      <c r="AD24" s="19">
        <v>0.28680555555555554</v>
      </c>
      <c r="AE24" s="10">
        <v>0.68194444444444446</v>
      </c>
      <c r="AF24" s="9" t="str">
        <f t="shared" si="19"/>
        <v>9h 29m</v>
      </c>
      <c r="AG24" s="21"/>
      <c r="AH24" s="19">
        <v>0.3</v>
      </c>
      <c r="AI24" s="10">
        <v>0.67986111111111114</v>
      </c>
      <c r="AJ24" s="9" t="str">
        <f t="shared" si="20"/>
        <v>9h 07m</v>
      </c>
      <c r="AK24" s="21"/>
      <c r="AL24" s="19">
        <v>0.2986111111111111</v>
      </c>
      <c r="AM24" s="10">
        <v>0.69513888888888886</v>
      </c>
      <c r="AN24" s="9" t="str">
        <f t="shared" si="15"/>
        <v>9h 31m</v>
      </c>
      <c r="AO24" s="21"/>
      <c r="AP24" s="19">
        <v>0.28333333333333333</v>
      </c>
      <c r="AQ24" s="10">
        <v>0.69444444444444442</v>
      </c>
      <c r="AR24" s="9" t="str">
        <f t="shared" si="16"/>
        <v>9h 52m</v>
      </c>
      <c r="AS24" s="21"/>
      <c r="AT24" s="175" t="s">
        <v>28</v>
      </c>
      <c r="AU24" s="176" t="s">
        <v>74</v>
      </c>
      <c r="AV24" s="9" t="str">
        <f>$P$4</f>
        <v>0h 00m</v>
      </c>
      <c r="AW24" s="21"/>
      <c r="AX24" s="19">
        <v>0.29166666666666669</v>
      </c>
      <c r="AY24" s="10">
        <v>0.67847222222222225</v>
      </c>
      <c r="AZ24" s="9" t="str">
        <f t="shared" si="22"/>
        <v>9h 17m</v>
      </c>
      <c r="BA24" s="21"/>
      <c r="BB24" s="19">
        <v>0.29791666666666666</v>
      </c>
      <c r="BC24" s="10">
        <v>0.68055555555555558</v>
      </c>
      <c r="BD24" s="9" t="str">
        <f t="shared" si="28"/>
        <v>9h 11m</v>
      </c>
      <c r="BE24" s="21"/>
      <c r="BF24" s="19">
        <v>0.33263888888888887</v>
      </c>
      <c r="BG24" s="10">
        <v>0.67986111111111114</v>
      </c>
      <c r="BH24" s="9" t="str">
        <f t="shared" si="29"/>
        <v>8h 20m</v>
      </c>
      <c r="BI24" s="21"/>
      <c r="BJ24" s="19">
        <v>0.2986111111111111</v>
      </c>
      <c r="BK24" s="10">
        <v>0.68055555555555558</v>
      </c>
      <c r="BL24" s="9" t="str">
        <f t="shared" si="27"/>
        <v>9h 10m</v>
      </c>
      <c r="BM24" s="21"/>
      <c r="BN24" s="19">
        <v>0.29097222222222224</v>
      </c>
      <c r="BO24" s="10">
        <v>0.67777777777777781</v>
      </c>
      <c r="BP24" s="9" t="str">
        <f t="shared" si="26"/>
        <v>9h 17m</v>
      </c>
      <c r="BQ24" s="21"/>
      <c r="BR24" s="93" t="s">
        <v>76</v>
      </c>
      <c r="BS24" s="99" t="s">
        <v>75</v>
      </c>
      <c r="BT24" s="9" t="str">
        <f>$P$4</f>
        <v>0h 00m</v>
      </c>
      <c r="BU24" s="101" t="s">
        <v>66</v>
      </c>
      <c r="BV24" s="19">
        <v>0.27083333333333331</v>
      </c>
      <c r="BW24" s="10">
        <v>0.71527777777777779</v>
      </c>
      <c r="BX24" s="11" t="str">
        <f t="shared" si="8"/>
        <v>10h 40m</v>
      </c>
      <c r="BY24" s="45"/>
      <c r="BZ24" s="105">
        <v>0.29652777777777778</v>
      </c>
      <c r="CA24" s="10">
        <v>0.70833333333333337</v>
      </c>
      <c r="CB24" s="9" t="str">
        <f t="shared" si="23"/>
        <v>9h 53m</v>
      </c>
      <c r="CC24" s="21"/>
      <c r="CD24" s="19"/>
      <c r="CE24" s="10"/>
      <c r="CF24" s="9" t="str">
        <f t="shared" si="24"/>
        <v>0h 00m</v>
      </c>
      <c r="CG24" s="21"/>
      <c r="CH24" s="19">
        <v>0.29583333333333334</v>
      </c>
      <c r="CI24" s="10">
        <v>0.67847222222222225</v>
      </c>
      <c r="CJ24" s="9" t="str">
        <f t="shared" si="31"/>
        <v>9h 11m</v>
      </c>
      <c r="CK24" s="21"/>
      <c r="CL24" s="42"/>
      <c r="CM24" s="76"/>
      <c r="CN24" s="95"/>
    </row>
    <row r="25" spans="1:92" s="29" customFormat="1" ht="15" thickBot="1" x14ac:dyDescent="0.35">
      <c r="A25" s="2" t="s">
        <v>54</v>
      </c>
      <c r="B25" s="127"/>
      <c r="C25" s="128"/>
      <c r="D25" s="49" t="str">
        <f t="shared" si="25"/>
        <v>0h 00m</v>
      </c>
      <c r="E25" s="159"/>
      <c r="F25" s="127"/>
      <c r="G25" s="128"/>
      <c r="H25" s="168" t="str">
        <f t="shared" si="1"/>
        <v>0h 00m</v>
      </c>
      <c r="I25" s="129"/>
      <c r="J25" s="149"/>
      <c r="K25" s="150"/>
      <c r="L25" s="49" t="str">
        <f t="shared" si="12"/>
        <v>0h 00m</v>
      </c>
      <c r="M25" s="50"/>
      <c r="N25" s="47"/>
      <c r="O25" s="48"/>
      <c r="P25" s="51" t="str">
        <f t="shared" si="17"/>
        <v>0h 00m</v>
      </c>
      <c r="Q25" s="52"/>
      <c r="R25" s="47"/>
      <c r="S25" s="48"/>
      <c r="T25" s="51" t="str">
        <f t="shared" si="13"/>
        <v>0h 00m</v>
      </c>
      <c r="U25" s="52"/>
      <c r="V25" s="56"/>
      <c r="W25" s="61"/>
      <c r="X25" s="51" t="str">
        <f t="shared" si="14"/>
        <v>0h 00m</v>
      </c>
      <c r="Y25" s="52"/>
      <c r="Z25" s="47"/>
      <c r="AA25" s="48"/>
      <c r="AB25" s="51" t="str">
        <f t="shared" si="18"/>
        <v>0h 00m</v>
      </c>
      <c r="AC25" s="52"/>
      <c r="AD25" s="47"/>
      <c r="AE25" s="48"/>
      <c r="AF25" s="51" t="str">
        <f t="shared" si="19"/>
        <v>0h 00m</v>
      </c>
      <c r="AG25" s="52"/>
      <c r="AH25" s="47"/>
      <c r="AI25" s="48"/>
      <c r="AJ25" s="51" t="str">
        <f t="shared" si="20"/>
        <v>0h 00m</v>
      </c>
      <c r="AK25" s="52"/>
      <c r="AL25" s="47"/>
      <c r="AM25" s="48"/>
      <c r="AN25" s="51" t="str">
        <f t="shared" si="15"/>
        <v>0h 00m</v>
      </c>
      <c r="AO25" s="52"/>
      <c r="AP25" s="47"/>
      <c r="AQ25" s="48"/>
      <c r="AR25" s="51" t="str">
        <f t="shared" si="16"/>
        <v>0h 00m</v>
      </c>
      <c r="AS25" s="52"/>
      <c r="AT25" s="47"/>
      <c r="AU25" s="48"/>
      <c r="AV25" s="51" t="str">
        <f t="shared" si="21"/>
        <v>0h 00m</v>
      </c>
      <c r="AW25" s="52"/>
      <c r="AX25" s="47"/>
      <c r="AY25" s="48"/>
      <c r="AZ25" s="51" t="str">
        <f t="shared" si="22"/>
        <v>0h 00m</v>
      </c>
      <c r="BA25" s="52"/>
      <c r="BB25" s="47"/>
      <c r="BC25" s="48"/>
      <c r="BD25" s="51" t="str">
        <f t="shared" si="28"/>
        <v>0h 00m</v>
      </c>
      <c r="BE25" s="52"/>
      <c r="BF25" s="47"/>
      <c r="BG25" s="48"/>
      <c r="BH25" s="51" t="str">
        <f t="shared" si="29"/>
        <v>0h 00m</v>
      </c>
      <c r="BI25" s="52"/>
      <c r="BJ25" s="47"/>
      <c r="BK25" s="48"/>
      <c r="BL25" s="51" t="str">
        <f t="shared" si="27"/>
        <v>0h 00m</v>
      </c>
      <c r="BM25" s="52"/>
      <c r="BN25" s="47"/>
      <c r="BO25" s="48"/>
      <c r="BP25" s="51" t="str">
        <f t="shared" si="26"/>
        <v>0h 00m</v>
      </c>
      <c r="BQ25" s="52"/>
      <c r="BR25" s="47"/>
      <c r="BS25" s="48"/>
      <c r="BT25" s="51" t="str">
        <f t="shared" si="30"/>
        <v>0h 00m</v>
      </c>
      <c r="BU25" s="102"/>
      <c r="BV25" s="57"/>
      <c r="BW25" s="58"/>
      <c r="BX25" s="58" t="str">
        <f t="shared" si="8"/>
        <v>0h 00m</v>
      </c>
      <c r="BY25" s="108"/>
      <c r="BZ25" s="106"/>
      <c r="CA25" s="48"/>
      <c r="CB25" s="51" t="str">
        <f t="shared" si="23"/>
        <v>0h 00m</v>
      </c>
      <c r="CC25" s="52"/>
      <c r="CD25" s="57"/>
      <c r="CE25" s="58"/>
      <c r="CF25" s="51" t="str">
        <f t="shared" si="24"/>
        <v>0h 00m</v>
      </c>
      <c r="CG25" s="52"/>
      <c r="CH25" s="47"/>
      <c r="CI25" s="48"/>
      <c r="CJ25" s="51" t="str">
        <f t="shared" si="31"/>
        <v>0h 00m</v>
      </c>
      <c r="CK25" s="52"/>
      <c r="CL25" s="72"/>
      <c r="CM25" s="77"/>
      <c r="CN25" s="96"/>
    </row>
    <row r="26" spans="1:92" s="29" customFormat="1" ht="15" thickBot="1" x14ac:dyDescent="0.35">
      <c r="A26" s="2" t="s">
        <v>55</v>
      </c>
      <c r="B26" s="127"/>
      <c r="C26" s="128"/>
      <c r="D26" s="49" t="str">
        <f t="shared" si="25"/>
        <v>0h 00m</v>
      </c>
      <c r="E26" s="159"/>
      <c r="F26" s="127"/>
      <c r="G26" s="128"/>
      <c r="H26" s="168" t="str">
        <f t="shared" si="1"/>
        <v>0h 00m</v>
      </c>
      <c r="I26" s="129"/>
      <c r="J26" s="149"/>
      <c r="K26" s="150"/>
      <c r="L26" s="51" t="str">
        <f t="shared" si="12"/>
        <v>0h 00m</v>
      </c>
      <c r="M26" s="52"/>
      <c r="N26" s="47"/>
      <c r="O26" s="48"/>
      <c r="P26" s="51" t="str">
        <f t="shared" si="17"/>
        <v>0h 00m</v>
      </c>
      <c r="Q26" s="52"/>
      <c r="R26" s="47"/>
      <c r="S26" s="48"/>
      <c r="T26" s="51" t="str">
        <f t="shared" si="13"/>
        <v>0h 00m</v>
      </c>
      <c r="U26" s="52"/>
      <c r="V26" s="56"/>
      <c r="W26" s="61"/>
      <c r="X26" s="51" t="str">
        <f t="shared" si="14"/>
        <v>0h 00m</v>
      </c>
      <c r="Y26" s="52"/>
      <c r="Z26" s="47"/>
      <c r="AA26" s="48"/>
      <c r="AB26" s="51" t="str">
        <f t="shared" si="18"/>
        <v>0h 00m</v>
      </c>
      <c r="AC26" s="52"/>
      <c r="AD26" s="47"/>
      <c r="AE26" s="48"/>
      <c r="AF26" s="51" t="str">
        <f t="shared" si="19"/>
        <v>0h 00m</v>
      </c>
      <c r="AG26" s="52"/>
      <c r="AH26" s="47"/>
      <c r="AI26" s="48"/>
      <c r="AJ26" s="51" t="str">
        <f t="shared" si="20"/>
        <v>0h 00m</v>
      </c>
      <c r="AK26" s="52"/>
      <c r="AL26" s="47"/>
      <c r="AM26" s="48"/>
      <c r="AN26" s="51" t="str">
        <f t="shared" si="15"/>
        <v>0h 00m</v>
      </c>
      <c r="AO26" s="52"/>
      <c r="AP26" s="47"/>
      <c r="AQ26" s="48"/>
      <c r="AR26" s="51" t="str">
        <f t="shared" si="16"/>
        <v>0h 00m</v>
      </c>
      <c r="AS26" s="52"/>
      <c r="AT26" s="47"/>
      <c r="AU26" s="48"/>
      <c r="AV26" s="51" t="str">
        <f t="shared" si="21"/>
        <v>0h 00m</v>
      </c>
      <c r="AW26" s="52"/>
      <c r="AX26" s="47"/>
      <c r="AY26" s="48"/>
      <c r="AZ26" s="51" t="str">
        <f t="shared" si="22"/>
        <v>0h 00m</v>
      </c>
      <c r="BA26" s="52"/>
      <c r="BB26" s="47"/>
      <c r="BC26" s="48"/>
      <c r="BD26" s="51" t="str">
        <f t="shared" si="28"/>
        <v>0h 00m</v>
      </c>
      <c r="BE26" s="52"/>
      <c r="BF26" s="47"/>
      <c r="BG26" s="48"/>
      <c r="BH26" s="51" t="str">
        <f t="shared" si="29"/>
        <v>0h 00m</v>
      </c>
      <c r="BI26" s="52"/>
      <c r="BJ26" s="47"/>
      <c r="BK26" s="48"/>
      <c r="BL26" s="51" t="str">
        <f t="shared" si="27"/>
        <v>0h 00m</v>
      </c>
      <c r="BM26" s="52"/>
      <c r="BN26" s="47"/>
      <c r="BO26" s="48"/>
      <c r="BP26" s="51" t="str">
        <f t="shared" si="26"/>
        <v>0h 00m</v>
      </c>
      <c r="BQ26" s="52"/>
      <c r="BR26" s="47"/>
      <c r="BS26" s="48"/>
      <c r="BT26" s="51" t="str">
        <f t="shared" si="30"/>
        <v>0h 00m</v>
      </c>
      <c r="BU26" s="102"/>
      <c r="BV26" s="57"/>
      <c r="BW26" s="58"/>
      <c r="BX26" s="58" t="str">
        <f t="shared" si="8"/>
        <v>0h 00m</v>
      </c>
      <c r="BY26" s="108"/>
      <c r="BZ26" s="106"/>
      <c r="CA26" s="48"/>
      <c r="CB26" s="51" t="str">
        <f t="shared" si="23"/>
        <v>0h 00m</v>
      </c>
      <c r="CC26" s="52"/>
      <c r="CD26" s="47"/>
      <c r="CE26" s="48"/>
      <c r="CF26" s="51" t="str">
        <f t="shared" si="24"/>
        <v>0h 00m</v>
      </c>
      <c r="CG26" s="52"/>
      <c r="CH26" s="47"/>
      <c r="CI26" s="48"/>
      <c r="CJ26" s="51" t="str">
        <f t="shared" si="31"/>
        <v>0h 00m</v>
      </c>
      <c r="CK26" s="52"/>
      <c r="CL26" s="72"/>
      <c r="CM26" s="77"/>
      <c r="CN26" s="96"/>
    </row>
    <row r="27" spans="1:92" ht="15" thickBot="1" x14ac:dyDescent="0.35">
      <c r="A27" s="2" t="s">
        <v>56</v>
      </c>
      <c r="B27" s="130">
        <v>0.30486111111111114</v>
      </c>
      <c r="C27" s="142">
        <v>0.67777777777777781</v>
      </c>
      <c r="D27" s="8" t="str">
        <f t="shared" si="25"/>
        <v>8h 57m</v>
      </c>
      <c r="E27" s="160"/>
      <c r="F27" s="130">
        <v>0.28958333333333336</v>
      </c>
      <c r="G27" s="142">
        <v>0.67777777777777781</v>
      </c>
      <c r="H27" s="41" t="str">
        <f t="shared" si="1"/>
        <v>9h 19m</v>
      </c>
      <c r="I27" s="132"/>
      <c r="J27" s="147" t="s">
        <v>110</v>
      </c>
      <c r="K27" s="148" t="s">
        <v>114</v>
      </c>
      <c r="L27" s="9" t="str">
        <f t="shared" si="12"/>
        <v>9h 47m</v>
      </c>
      <c r="M27" s="21"/>
      <c r="N27" s="19">
        <v>0.26597222222222222</v>
      </c>
      <c r="O27" s="10">
        <v>0.68055555555555558</v>
      </c>
      <c r="P27" s="9" t="str">
        <f t="shared" si="17"/>
        <v>9h 57m</v>
      </c>
      <c r="Q27" s="21"/>
      <c r="R27" s="19"/>
      <c r="S27" s="10"/>
      <c r="T27" s="9" t="str">
        <f t="shared" si="13"/>
        <v>0h 00m</v>
      </c>
      <c r="U27" s="21"/>
      <c r="V27" s="23">
        <v>0.29791666666666666</v>
      </c>
      <c r="W27" s="7">
        <v>0.7104166666666667</v>
      </c>
      <c r="X27" s="9" t="str">
        <f t="shared" si="14"/>
        <v>9h 54m</v>
      </c>
      <c r="Y27" s="21"/>
      <c r="Z27" s="19">
        <v>0.27500000000000002</v>
      </c>
      <c r="AA27" s="10">
        <v>0.69027777777777777</v>
      </c>
      <c r="AB27" s="9" t="str">
        <f t="shared" si="18"/>
        <v>9h 58m</v>
      </c>
      <c r="AC27" s="21"/>
      <c r="AD27" s="19">
        <v>0.29166666666666669</v>
      </c>
      <c r="AE27" s="10">
        <v>0.68472222222222223</v>
      </c>
      <c r="AF27" s="9" t="str">
        <f t="shared" si="19"/>
        <v>9h 26m</v>
      </c>
      <c r="AG27" s="21"/>
      <c r="AH27" s="19">
        <v>0.29791666666666666</v>
      </c>
      <c r="AI27" s="10">
        <v>0.6791666666666667</v>
      </c>
      <c r="AJ27" s="9" t="str">
        <f t="shared" si="20"/>
        <v>9h 09m</v>
      </c>
      <c r="AK27" s="21"/>
      <c r="AL27" s="19">
        <v>0.28958333333333336</v>
      </c>
      <c r="AM27" s="10">
        <v>0.68472222222222223</v>
      </c>
      <c r="AN27" s="9" t="str">
        <f t="shared" si="15"/>
        <v>9h 29m</v>
      </c>
      <c r="AO27" s="21"/>
      <c r="AP27" s="205">
        <v>0.29166666666666669</v>
      </c>
      <c r="AQ27" s="206">
        <v>0.5</v>
      </c>
      <c r="AR27" s="9" t="str">
        <f t="shared" si="16"/>
        <v>5h 00m</v>
      </c>
      <c r="AS27" s="21" t="s">
        <v>146</v>
      </c>
      <c r="AT27" s="19">
        <v>0.29166666666666669</v>
      </c>
      <c r="AU27" s="10">
        <v>0.67777777777777781</v>
      </c>
      <c r="AV27" s="9" t="str">
        <f t="shared" si="21"/>
        <v>9h 16m</v>
      </c>
      <c r="AW27" s="21"/>
      <c r="AX27" s="19">
        <v>0.30555555555555558</v>
      </c>
      <c r="AY27" s="10">
        <v>0.67708333333333337</v>
      </c>
      <c r="AZ27" s="9" t="str">
        <f t="shared" si="22"/>
        <v>8h 55m</v>
      </c>
      <c r="BA27" s="21"/>
      <c r="BB27" s="19">
        <v>0.29722222222222222</v>
      </c>
      <c r="BC27" s="10">
        <v>0.68402777777777779</v>
      </c>
      <c r="BD27" s="9" t="str">
        <f t="shared" si="28"/>
        <v>9h 17m</v>
      </c>
      <c r="BE27" s="21"/>
      <c r="BF27" s="19">
        <v>0.28888888888888886</v>
      </c>
      <c r="BG27" s="10">
        <v>0.67708333333333337</v>
      </c>
      <c r="BH27" s="9" t="str">
        <f t="shared" si="29"/>
        <v>9h 19m</v>
      </c>
      <c r="BI27" s="21"/>
      <c r="BJ27" s="19">
        <v>0.29791666666666666</v>
      </c>
      <c r="BK27" s="10">
        <v>0.67777777777777781</v>
      </c>
      <c r="BL27" s="9" t="str">
        <f t="shared" si="27"/>
        <v>9h 07m</v>
      </c>
      <c r="BM27" s="21"/>
      <c r="BN27" s="19">
        <v>0.28749999999999998</v>
      </c>
      <c r="BO27" s="10">
        <v>0.67777777777777781</v>
      </c>
      <c r="BP27" s="9" t="str">
        <f t="shared" si="26"/>
        <v>9h 22m</v>
      </c>
      <c r="BQ27" s="21"/>
      <c r="BR27" s="93" t="s">
        <v>76</v>
      </c>
      <c r="BS27" s="99" t="s">
        <v>75</v>
      </c>
      <c r="BT27" s="9" t="str">
        <f>$P$4</f>
        <v>0h 00m</v>
      </c>
      <c r="BU27" s="101" t="s">
        <v>66</v>
      </c>
      <c r="BV27" s="19">
        <v>0.27083333333333331</v>
      </c>
      <c r="BW27" s="10">
        <v>0.67708333333333337</v>
      </c>
      <c r="BX27" s="11" t="str">
        <f t="shared" si="8"/>
        <v>9h 45m</v>
      </c>
      <c r="BY27" s="45"/>
      <c r="BZ27" s="105">
        <v>0.29375000000000001</v>
      </c>
      <c r="CA27" s="10">
        <v>0.68055555555555558</v>
      </c>
      <c r="CB27" s="9" t="str">
        <f t="shared" si="23"/>
        <v>9h 17m</v>
      </c>
      <c r="CC27" s="21"/>
      <c r="CD27" s="173"/>
      <c r="CE27" s="148"/>
      <c r="CF27" s="9" t="str">
        <f t="shared" si="24"/>
        <v>0h 00m</v>
      </c>
      <c r="CG27" s="21"/>
      <c r="CH27" s="19">
        <v>0.29930555555555555</v>
      </c>
      <c r="CI27" s="10">
        <v>0.6791666666666667</v>
      </c>
      <c r="CJ27" s="9" t="str">
        <f t="shared" si="31"/>
        <v>9h 07m</v>
      </c>
      <c r="CK27" s="21"/>
      <c r="CL27" s="42"/>
      <c r="CM27" s="76"/>
      <c r="CN27" s="95"/>
    </row>
    <row r="28" spans="1:92" s="29" customFormat="1" ht="15" thickBot="1" x14ac:dyDescent="0.35">
      <c r="A28" s="2" t="s">
        <v>57</v>
      </c>
      <c r="B28" s="130">
        <v>0.30138888888888887</v>
      </c>
      <c r="C28" s="142">
        <v>0.68055555555555558</v>
      </c>
      <c r="D28" s="8" t="str">
        <f t="shared" si="25"/>
        <v>9h 06m</v>
      </c>
      <c r="E28" s="160"/>
      <c r="F28" s="130">
        <v>0.29097222222222224</v>
      </c>
      <c r="G28" s="142">
        <v>0.6875</v>
      </c>
      <c r="H28" s="41" t="str">
        <f t="shared" si="1"/>
        <v>9h 31m</v>
      </c>
      <c r="I28" s="132"/>
      <c r="J28" s="147" t="s">
        <v>115</v>
      </c>
      <c r="K28" s="148" t="s">
        <v>123</v>
      </c>
      <c r="L28" s="8" t="str">
        <f t="shared" si="12"/>
        <v>9h 25m</v>
      </c>
      <c r="M28" s="20"/>
      <c r="N28" s="19">
        <v>0.26805555555555555</v>
      </c>
      <c r="O28" s="10">
        <v>0.68125000000000002</v>
      </c>
      <c r="P28" s="9" t="str">
        <f t="shared" si="17"/>
        <v>9h 55m</v>
      </c>
      <c r="Q28" s="21"/>
      <c r="R28" s="32"/>
      <c r="S28" s="33"/>
      <c r="T28" s="9" t="str">
        <f t="shared" si="13"/>
        <v>0h 00m</v>
      </c>
      <c r="U28" s="21"/>
      <c r="V28" s="174" t="s">
        <v>113</v>
      </c>
      <c r="W28" s="144" t="s">
        <v>122</v>
      </c>
      <c r="X28" s="9" t="str">
        <f t="shared" si="14"/>
        <v>9h 15m</v>
      </c>
      <c r="Y28" s="21"/>
      <c r="Z28" s="173" t="s">
        <v>119</v>
      </c>
      <c r="AA28" s="148" t="s">
        <v>131</v>
      </c>
      <c r="AB28" s="9" t="str">
        <f t="shared" si="18"/>
        <v>9h 50m</v>
      </c>
      <c r="AC28" s="21"/>
      <c r="AD28" s="19">
        <v>0.29166666666666669</v>
      </c>
      <c r="AE28" s="10">
        <v>0.6791666666666667</v>
      </c>
      <c r="AF28" s="9" t="str">
        <f t="shared" si="19"/>
        <v>9h 18m</v>
      </c>
      <c r="AG28" s="21"/>
      <c r="AH28" s="173" t="s">
        <v>117</v>
      </c>
      <c r="AI28" s="148" t="s">
        <v>125</v>
      </c>
      <c r="AJ28" s="9" t="str">
        <f t="shared" si="20"/>
        <v>9h 08m</v>
      </c>
      <c r="AK28" s="21"/>
      <c r="AL28" s="173" t="s">
        <v>86</v>
      </c>
      <c r="AM28" s="148" t="s">
        <v>91</v>
      </c>
      <c r="AN28" s="9" t="str">
        <f t="shared" si="15"/>
        <v>9h 17m</v>
      </c>
      <c r="AO28" s="21"/>
      <c r="AP28" s="207" t="s">
        <v>96</v>
      </c>
      <c r="AQ28" s="208" t="s">
        <v>75</v>
      </c>
      <c r="AR28" s="9" t="str">
        <f>$P$4</f>
        <v>0h 00m</v>
      </c>
      <c r="AS28" s="21" t="s">
        <v>146</v>
      </c>
      <c r="AT28" s="173" t="s">
        <v>117</v>
      </c>
      <c r="AU28" s="148" t="s">
        <v>97</v>
      </c>
      <c r="AV28" s="9" t="str">
        <f t="shared" si="21"/>
        <v>9h 05m</v>
      </c>
      <c r="AW28" s="21"/>
      <c r="AX28" s="173" t="s">
        <v>88</v>
      </c>
      <c r="AY28" s="148" t="s">
        <v>124</v>
      </c>
      <c r="AZ28" s="9" t="str">
        <f t="shared" si="22"/>
        <v>8h 59m</v>
      </c>
      <c r="BA28" s="21"/>
      <c r="BB28" s="181" t="s">
        <v>118</v>
      </c>
      <c r="BC28" s="182" t="s">
        <v>126</v>
      </c>
      <c r="BD28" s="9" t="str">
        <f t="shared" si="28"/>
        <v>3h 44m</v>
      </c>
      <c r="BE28" s="21" t="s">
        <v>128</v>
      </c>
      <c r="BF28" s="19">
        <v>0.29097222222222224</v>
      </c>
      <c r="BG28" s="10">
        <v>0.67708333333333337</v>
      </c>
      <c r="BH28" s="9" t="str">
        <f t="shared" si="29"/>
        <v>9h 16m</v>
      </c>
      <c r="BI28" s="21"/>
      <c r="BJ28" s="19">
        <v>0.29791666666666666</v>
      </c>
      <c r="BK28" s="10">
        <v>0.68055555555555558</v>
      </c>
      <c r="BL28" s="9" t="str">
        <f t="shared" si="27"/>
        <v>9h 11m</v>
      </c>
      <c r="BM28" s="21"/>
      <c r="BN28" s="173" t="s">
        <v>116</v>
      </c>
      <c r="BO28" s="148" t="s">
        <v>97</v>
      </c>
      <c r="BP28" s="9" t="str">
        <f t="shared" si="26"/>
        <v>9h 24m</v>
      </c>
      <c r="BQ28" s="21"/>
      <c r="BR28" s="93" t="s">
        <v>76</v>
      </c>
      <c r="BS28" s="99" t="s">
        <v>75</v>
      </c>
      <c r="BT28" s="9" t="str">
        <f>$P$4</f>
        <v>0h 00m</v>
      </c>
      <c r="BU28" s="101" t="s">
        <v>66</v>
      </c>
      <c r="BV28" s="19">
        <v>0.27083333333333331</v>
      </c>
      <c r="BW28" s="10">
        <v>0.67708333333333337</v>
      </c>
      <c r="BX28" s="11" t="str">
        <f t="shared" si="8"/>
        <v>9h 45m</v>
      </c>
      <c r="BY28" s="45"/>
      <c r="BZ28" s="147" t="s">
        <v>112</v>
      </c>
      <c r="CA28" s="148" t="s">
        <v>120</v>
      </c>
      <c r="CB28" s="9" t="str">
        <f t="shared" si="23"/>
        <v>9h 21m</v>
      </c>
      <c r="CC28" s="21"/>
      <c r="CD28" s="173" t="s">
        <v>111</v>
      </c>
      <c r="CE28" s="148" t="s">
        <v>89</v>
      </c>
      <c r="CF28" s="9" t="str">
        <f t="shared" si="24"/>
        <v>9h 07m</v>
      </c>
      <c r="CG28" s="21"/>
      <c r="CH28" s="173" t="s">
        <v>101</v>
      </c>
      <c r="CI28" s="148" t="s">
        <v>124</v>
      </c>
      <c r="CJ28" s="9" t="str">
        <f t="shared" si="31"/>
        <v>9h 03m</v>
      </c>
      <c r="CK28" s="21"/>
      <c r="CL28" s="44"/>
      <c r="CM28" s="80"/>
      <c r="CN28" s="96"/>
    </row>
    <row r="29" spans="1:92" s="29" customFormat="1" ht="15" thickBot="1" x14ac:dyDescent="0.35">
      <c r="A29" s="3" t="s">
        <v>58</v>
      </c>
      <c r="B29" s="130">
        <v>0.29791666666666666</v>
      </c>
      <c r="C29" s="142">
        <v>0.68055555555555558</v>
      </c>
      <c r="D29" s="8" t="str">
        <f t="shared" si="25"/>
        <v>9h 11m</v>
      </c>
      <c r="E29" s="162"/>
      <c r="F29" s="130">
        <v>0.28888888888888886</v>
      </c>
      <c r="G29" s="142">
        <v>0.67708333333333337</v>
      </c>
      <c r="H29" s="41" t="str">
        <f t="shared" si="1"/>
        <v>9h 19m</v>
      </c>
      <c r="I29" s="119"/>
      <c r="J29" s="147" t="s">
        <v>88</v>
      </c>
      <c r="K29" s="148" t="s">
        <v>137</v>
      </c>
      <c r="L29" s="41" t="str">
        <f t="shared" si="12"/>
        <v>9h 23m</v>
      </c>
      <c r="M29" s="46"/>
      <c r="N29" s="19">
        <v>0.27916666666666667</v>
      </c>
      <c r="O29" s="10">
        <v>0.67986111111111114</v>
      </c>
      <c r="P29" s="11" t="str">
        <f t="shared" si="17"/>
        <v>9h 37m</v>
      </c>
      <c r="Q29" s="45"/>
      <c r="R29" s="32"/>
      <c r="S29" s="33"/>
      <c r="T29" s="11" t="str">
        <f t="shared" si="13"/>
        <v>0h 00m</v>
      </c>
      <c r="U29" s="45"/>
      <c r="V29" s="173" t="s">
        <v>121</v>
      </c>
      <c r="W29" s="148" t="s">
        <v>124</v>
      </c>
      <c r="X29" s="11" t="str">
        <f t="shared" si="14"/>
        <v>9h 10m</v>
      </c>
      <c r="Y29" s="45"/>
      <c r="Z29" s="173" t="s">
        <v>132</v>
      </c>
      <c r="AA29" s="148" t="s">
        <v>81</v>
      </c>
      <c r="AB29" s="11" t="str">
        <f t="shared" si="18"/>
        <v>9h 53m</v>
      </c>
      <c r="AC29" s="45"/>
      <c r="AD29" s="19">
        <v>0.28680555555555554</v>
      </c>
      <c r="AE29" s="10">
        <v>0.68402777777777779</v>
      </c>
      <c r="AF29" s="11" t="str">
        <f t="shared" si="19"/>
        <v>9h 32m</v>
      </c>
      <c r="AG29" s="45"/>
      <c r="AH29" s="173" t="s">
        <v>115</v>
      </c>
      <c r="AI29" s="148" t="s">
        <v>139</v>
      </c>
      <c r="AJ29" s="11" t="str">
        <f t="shared" si="20"/>
        <v>9h 09m</v>
      </c>
      <c r="AK29" s="45"/>
      <c r="AL29" s="173" t="s">
        <v>112</v>
      </c>
      <c r="AM29" s="148" t="s">
        <v>100</v>
      </c>
      <c r="AN29" s="11" t="str">
        <f t="shared" si="15"/>
        <v>9h 17m</v>
      </c>
      <c r="AO29" s="45"/>
      <c r="AP29" s="207" t="s">
        <v>96</v>
      </c>
      <c r="AQ29" s="208" t="s">
        <v>75</v>
      </c>
      <c r="AR29" s="9" t="str">
        <f>$P$4</f>
        <v>0h 00m</v>
      </c>
      <c r="AS29" s="21" t="s">
        <v>146</v>
      </c>
      <c r="AT29" s="173" t="s">
        <v>130</v>
      </c>
      <c r="AU29" s="148" t="s">
        <v>133</v>
      </c>
      <c r="AV29" s="11" t="str">
        <f t="shared" si="21"/>
        <v>9h 15m</v>
      </c>
      <c r="AW29" s="45"/>
      <c r="AX29" s="175" t="s">
        <v>28</v>
      </c>
      <c r="AY29" s="176" t="s">
        <v>28</v>
      </c>
      <c r="AZ29" s="9" t="str">
        <f>$P$4</f>
        <v>0h 00m</v>
      </c>
      <c r="BA29" s="45"/>
      <c r="BB29" s="181" t="s">
        <v>129</v>
      </c>
      <c r="BC29" s="182" t="s">
        <v>75</v>
      </c>
      <c r="BD29" s="9" t="str">
        <f>$P$4</f>
        <v>0h 00m</v>
      </c>
      <c r="BE29" s="21" t="s">
        <v>128</v>
      </c>
      <c r="BF29" s="19">
        <v>0.28819444444444442</v>
      </c>
      <c r="BG29" s="10">
        <v>0.67708333333333337</v>
      </c>
      <c r="BH29" s="11" t="str">
        <f t="shared" si="29"/>
        <v>9h 20m</v>
      </c>
      <c r="BI29" s="45"/>
      <c r="BJ29" s="19">
        <v>0.29791666666666666</v>
      </c>
      <c r="BK29" s="10">
        <v>0.6791666666666667</v>
      </c>
      <c r="BL29" s="11" t="str">
        <f t="shared" si="27"/>
        <v>9h 09m</v>
      </c>
      <c r="BM29" s="45"/>
      <c r="BN29" s="203" t="s">
        <v>74</v>
      </c>
      <c r="BO29" s="204" t="s">
        <v>75</v>
      </c>
      <c r="BP29" s="9" t="str">
        <f>$P$4</f>
        <v>0h 00m</v>
      </c>
      <c r="BQ29" s="45" t="s">
        <v>145</v>
      </c>
      <c r="BR29" s="173" t="s">
        <v>101</v>
      </c>
      <c r="BS29" s="148" t="s">
        <v>133</v>
      </c>
      <c r="BT29" s="11" t="str">
        <f t="shared" si="30"/>
        <v>9h 01m</v>
      </c>
      <c r="BU29" s="103"/>
      <c r="BV29" s="19">
        <v>0.27083333333333331</v>
      </c>
      <c r="BW29" s="10">
        <v>0.67708333333333337</v>
      </c>
      <c r="BX29" s="11" t="str">
        <f t="shared" si="8"/>
        <v>9h 45m</v>
      </c>
      <c r="BY29" s="45"/>
      <c r="BZ29" s="147" t="s">
        <v>121</v>
      </c>
      <c r="CA29" s="148" t="s">
        <v>147</v>
      </c>
      <c r="CB29" s="11" t="str">
        <f t="shared" si="23"/>
        <v>8h 38m</v>
      </c>
      <c r="CC29" s="45"/>
      <c r="CD29" s="173"/>
      <c r="CE29" s="148"/>
      <c r="CF29" s="11" t="str">
        <f t="shared" si="24"/>
        <v>0h 00m</v>
      </c>
      <c r="CG29" s="45"/>
      <c r="CH29" s="173" t="s">
        <v>115</v>
      </c>
      <c r="CI29" s="148" t="s">
        <v>139</v>
      </c>
      <c r="CJ29" s="11" t="str">
        <f t="shared" si="31"/>
        <v>9h 09m</v>
      </c>
      <c r="CK29" s="45"/>
      <c r="CL29" s="44"/>
      <c r="CM29" s="80"/>
      <c r="CN29" s="96"/>
    </row>
    <row r="30" spans="1:92" s="29" customFormat="1" ht="15" thickBot="1" x14ac:dyDescent="0.35">
      <c r="A30" s="39" t="s">
        <v>59</v>
      </c>
      <c r="B30" s="130">
        <v>0.30625000000000002</v>
      </c>
      <c r="C30" s="142">
        <v>0.68333333333333335</v>
      </c>
      <c r="D30" s="8" t="str">
        <f t="shared" si="25"/>
        <v>9h 03m</v>
      </c>
      <c r="E30" s="162"/>
      <c r="F30" s="130">
        <v>0.28888888888888886</v>
      </c>
      <c r="G30" s="142">
        <v>0.68055555555555558</v>
      </c>
      <c r="H30" s="41" t="str">
        <f t="shared" si="1"/>
        <v>9h 24m</v>
      </c>
      <c r="I30" s="119"/>
      <c r="J30" s="147" t="s">
        <v>118</v>
      </c>
      <c r="K30" s="148" t="s">
        <v>106</v>
      </c>
      <c r="L30" s="41" t="str">
        <f t="shared" si="12"/>
        <v>9h 16m</v>
      </c>
      <c r="M30" s="46"/>
      <c r="N30" s="19">
        <v>0.27500000000000002</v>
      </c>
      <c r="O30" s="10">
        <v>0.68611111111111112</v>
      </c>
      <c r="P30" s="11" t="str">
        <f t="shared" si="17"/>
        <v>9h 52m</v>
      </c>
      <c r="Q30" s="45"/>
      <c r="R30" s="32"/>
      <c r="S30" s="33"/>
      <c r="T30" s="11" t="str">
        <f t="shared" si="13"/>
        <v>0h 00m</v>
      </c>
      <c r="U30" s="45"/>
      <c r="V30" s="173" t="s">
        <v>113</v>
      </c>
      <c r="W30" s="148" t="s">
        <v>139</v>
      </c>
      <c r="X30" s="11" t="str">
        <f t="shared" si="14"/>
        <v>9h 10m</v>
      </c>
      <c r="Y30" s="45"/>
      <c r="Z30" s="173" t="s">
        <v>140</v>
      </c>
      <c r="AA30" s="148" t="s">
        <v>97</v>
      </c>
      <c r="AB30" s="11" t="str">
        <f t="shared" si="18"/>
        <v>9h 23m</v>
      </c>
      <c r="AC30" s="45"/>
      <c r="AD30" s="19">
        <v>0.28888888888888886</v>
      </c>
      <c r="AE30" s="10">
        <v>0.67986111111111114</v>
      </c>
      <c r="AF30" s="11" t="str">
        <f t="shared" si="19"/>
        <v>9h 23m</v>
      </c>
      <c r="AG30" s="45"/>
      <c r="AH30" s="173" t="s">
        <v>115</v>
      </c>
      <c r="AI30" s="148" t="s">
        <v>97</v>
      </c>
      <c r="AJ30" s="11" t="str">
        <f t="shared" si="20"/>
        <v>9h 07m</v>
      </c>
      <c r="AK30" s="45"/>
      <c r="AL30" s="173" t="s">
        <v>136</v>
      </c>
      <c r="AM30" s="148" t="s">
        <v>139</v>
      </c>
      <c r="AN30" s="11" t="str">
        <f t="shared" si="15"/>
        <v>9h 12m</v>
      </c>
      <c r="AO30" s="45"/>
      <c r="AP30" s="173" t="s">
        <v>115</v>
      </c>
      <c r="AQ30" s="148" t="s">
        <v>141</v>
      </c>
      <c r="AR30" s="11" t="str">
        <f t="shared" si="16"/>
        <v>9h 11m</v>
      </c>
      <c r="AS30" s="45"/>
      <c r="AT30" s="173" t="s">
        <v>130</v>
      </c>
      <c r="AU30" s="148" t="s">
        <v>133</v>
      </c>
      <c r="AV30" s="11" t="str">
        <f t="shared" si="21"/>
        <v>9h 15m</v>
      </c>
      <c r="AW30" s="45"/>
      <c r="AX30" s="175" t="s">
        <v>28</v>
      </c>
      <c r="AY30" s="176" t="s">
        <v>28</v>
      </c>
      <c r="AZ30" s="9" t="str">
        <f>$P$4</f>
        <v>0h 00m</v>
      </c>
      <c r="BA30" s="45"/>
      <c r="BB30" s="181" t="s">
        <v>129</v>
      </c>
      <c r="BC30" s="182" t="s">
        <v>75</v>
      </c>
      <c r="BD30" s="9" t="str">
        <f>$P$4</f>
        <v>0h 00m</v>
      </c>
      <c r="BE30" s="21" t="s">
        <v>128</v>
      </c>
      <c r="BF30" s="19">
        <v>0.28888888888888886</v>
      </c>
      <c r="BG30" s="10">
        <v>0.67777777777777781</v>
      </c>
      <c r="BH30" s="11" t="str">
        <f t="shared" si="29"/>
        <v>9h 20m</v>
      </c>
      <c r="BI30" s="45"/>
      <c r="BJ30" s="19">
        <v>0.29166666666666669</v>
      </c>
      <c r="BK30" s="10">
        <v>0.67847222222222225</v>
      </c>
      <c r="BL30" s="11" t="str">
        <f t="shared" si="27"/>
        <v>9h 17m</v>
      </c>
      <c r="BM30" s="45"/>
      <c r="BN30" s="173" t="s">
        <v>138</v>
      </c>
      <c r="BO30" s="148" t="s">
        <v>133</v>
      </c>
      <c r="BP30" s="11" t="str">
        <f t="shared" si="26"/>
        <v>9h 19m</v>
      </c>
      <c r="BQ30" s="45"/>
      <c r="BR30" s="173" t="s">
        <v>117</v>
      </c>
      <c r="BS30" s="148" t="s">
        <v>139</v>
      </c>
      <c r="BT30" s="11" t="str">
        <f t="shared" si="30"/>
        <v>9h 07m</v>
      </c>
      <c r="BU30" s="103"/>
      <c r="BV30" s="19">
        <v>0.26041666666666669</v>
      </c>
      <c r="BW30" s="10">
        <v>0.67708333333333337</v>
      </c>
      <c r="BX30" s="11" t="str">
        <f t="shared" si="8"/>
        <v>10h 00m</v>
      </c>
      <c r="BY30" s="45"/>
      <c r="BZ30" s="147" t="s">
        <v>135</v>
      </c>
      <c r="CA30" s="148" t="s">
        <v>124</v>
      </c>
      <c r="CB30" s="11" t="str">
        <f t="shared" si="23"/>
        <v>9h 14m</v>
      </c>
      <c r="CC30" s="45"/>
      <c r="CD30" s="173" t="s">
        <v>134</v>
      </c>
      <c r="CE30" s="148" t="s">
        <v>106</v>
      </c>
      <c r="CF30" s="11" t="str">
        <f t="shared" si="24"/>
        <v>9h 03m</v>
      </c>
      <c r="CG30" s="45"/>
      <c r="CH30" s="173" t="s">
        <v>115</v>
      </c>
      <c r="CI30" s="148" t="s">
        <v>139</v>
      </c>
      <c r="CJ30" s="11" t="str">
        <f t="shared" si="31"/>
        <v>9h 09m</v>
      </c>
      <c r="CK30" s="45"/>
      <c r="CL30" s="44"/>
      <c r="CM30" s="80"/>
      <c r="CN30" s="96"/>
    </row>
    <row r="31" spans="1:92" s="29" customFormat="1" ht="15" thickBot="1" x14ac:dyDescent="0.35">
      <c r="A31" s="39" t="s">
        <v>60</v>
      </c>
      <c r="B31" s="130">
        <v>0.30208333333333331</v>
      </c>
      <c r="C31" s="142">
        <v>0.67777777777777781</v>
      </c>
      <c r="D31" s="8" t="str">
        <f t="shared" si="25"/>
        <v>9h 01m</v>
      </c>
      <c r="E31" s="162"/>
      <c r="F31" s="130">
        <v>0.28958333333333336</v>
      </c>
      <c r="G31" s="142">
        <v>0.67847222222222225</v>
      </c>
      <c r="H31" s="41" t="str">
        <f t="shared" ref="H31:H32" si="32">TEXT(G31-F31,"h""h ""mm""m""")</f>
        <v>9h 20m</v>
      </c>
      <c r="I31" s="119"/>
      <c r="J31" s="147" t="s">
        <v>80</v>
      </c>
      <c r="K31" s="148" t="s">
        <v>149</v>
      </c>
      <c r="L31" s="41" t="str">
        <f t="shared" si="12"/>
        <v>9h 52m</v>
      </c>
      <c r="M31" s="46"/>
      <c r="N31" s="19">
        <v>0.27916666666666667</v>
      </c>
      <c r="O31" s="10">
        <v>0.67777777777777781</v>
      </c>
      <c r="P31" s="11" t="str">
        <f t="shared" si="17"/>
        <v>9h 34m</v>
      </c>
      <c r="Q31" s="45"/>
      <c r="R31" s="32"/>
      <c r="S31" s="33"/>
      <c r="T31" s="11" t="str">
        <f t="shared" si="13"/>
        <v>0h 00m</v>
      </c>
      <c r="U31" s="45"/>
      <c r="V31" s="173" t="s">
        <v>113</v>
      </c>
      <c r="W31" s="148" t="s">
        <v>141</v>
      </c>
      <c r="X31" s="11" t="str">
        <f t="shared" si="14"/>
        <v>9h 12m</v>
      </c>
      <c r="Y31" s="45"/>
      <c r="Z31" s="173" t="s">
        <v>144</v>
      </c>
      <c r="AA31" s="148" t="s">
        <v>91</v>
      </c>
      <c r="AB31" s="11" t="str">
        <f t="shared" si="18"/>
        <v>9h 40m</v>
      </c>
      <c r="AC31" s="45"/>
      <c r="AD31" s="19">
        <v>0.28819444444444442</v>
      </c>
      <c r="AE31" s="10">
        <v>0.69166666666666665</v>
      </c>
      <c r="AF31" s="11" t="str">
        <f t="shared" si="19"/>
        <v>9h 41m</v>
      </c>
      <c r="AG31" s="45"/>
      <c r="AH31" s="173" t="s">
        <v>98</v>
      </c>
      <c r="AI31" s="148" t="s">
        <v>124</v>
      </c>
      <c r="AJ31" s="11" t="str">
        <f t="shared" si="20"/>
        <v>9h 04m</v>
      </c>
      <c r="AK31" s="45"/>
      <c r="AL31" s="173" t="s">
        <v>112</v>
      </c>
      <c r="AM31" s="148" t="s">
        <v>141</v>
      </c>
      <c r="AN31" s="11" t="str">
        <f t="shared" si="15"/>
        <v>9h 16m</v>
      </c>
      <c r="AO31" s="45"/>
      <c r="AP31" s="173" t="s">
        <v>142</v>
      </c>
      <c r="AQ31" s="148" t="s">
        <v>141</v>
      </c>
      <c r="AR31" s="11" t="str">
        <f t="shared" si="16"/>
        <v>9h 10m</v>
      </c>
      <c r="AS31" s="45"/>
      <c r="AT31" s="173" t="s">
        <v>130</v>
      </c>
      <c r="AU31" s="148" t="s">
        <v>124</v>
      </c>
      <c r="AV31" s="11" t="str">
        <f t="shared" si="21"/>
        <v>9h 17m</v>
      </c>
      <c r="AW31" s="45"/>
      <c r="AX31" s="175" t="s">
        <v>28</v>
      </c>
      <c r="AY31" s="176" t="s">
        <v>28</v>
      </c>
      <c r="AZ31" s="9" t="str">
        <f>$P$4</f>
        <v>0h 00m</v>
      </c>
      <c r="BA31" s="45"/>
      <c r="BB31" s="181" t="s">
        <v>129</v>
      </c>
      <c r="BC31" s="182" t="s">
        <v>75</v>
      </c>
      <c r="BD31" s="9" t="str">
        <f>$P$4</f>
        <v>0h 00m</v>
      </c>
      <c r="BE31" s="21" t="s">
        <v>128</v>
      </c>
      <c r="BF31" s="19">
        <v>0.28958333333333336</v>
      </c>
      <c r="BG31" s="10">
        <v>0.67777777777777781</v>
      </c>
      <c r="BH31" s="11" t="str">
        <f t="shared" si="29"/>
        <v>9h 19m</v>
      </c>
      <c r="BI31" s="45"/>
      <c r="BJ31" s="19">
        <v>0.30138888888888887</v>
      </c>
      <c r="BK31" s="10">
        <v>0.68680555555555556</v>
      </c>
      <c r="BL31" s="11" t="str">
        <f t="shared" si="27"/>
        <v>9h 15m</v>
      </c>
      <c r="BM31" s="45"/>
      <c r="BN31" s="173" t="s">
        <v>143</v>
      </c>
      <c r="BO31" s="148" t="s">
        <v>133</v>
      </c>
      <c r="BP31" s="11" t="str">
        <f t="shared" si="26"/>
        <v>9h 21m</v>
      </c>
      <c r="BQ31" s="45"/>
      <c r="BR31" s="173" t="s">
        <v>98</v>
      </c>
      <c r="BS31" s="148" t="s">
        <v>141</v>
      </c>
      <c r="BT31" s="11" t="str">
        <f t="shared" si="30"/>
        <v>9h 07m</v>
      </c>
      <c r="BU31" s="103"/>
      <c r="BV31" s="19">
        <v>0.2638888888888889</v>
      </c>
      <c r="BW31" s="10">
        <v>0.67708333333333337</v>
      </c>
      <c r="BX31" s="11" t="str">
        <f t="shared" ref="BX31:BX32" si="33">TEXT(BW31-BV31,"h""h ""mm""m""")</f>
        <v>9h 55m</v>
      </c>
      <c r="BY31" s="45"/>
      <c r="BZ31" s="209" t="s">
        <v>96</v>
      </c>
      <c r="CA31" s="208" t="s">
        <v>75</v>
      </c>
      <c r="CB31" s="9" t="str">
        <f>$P$4</f>
        <v>0h 00m</v>
      </c>
      <c r="CC31" s="45" t="s">
        <v>148</v>
      </c>
      <c r="CD31" s="173"/>
      <c r="CE31" s="148"/>
      <c r="CF31" s="11" t="str">
        <f t="shared" si="24"/>
        <v>0h 00m</v>
      </c>
      <c r="CG31" s="45"/>
      <c r="CH31" s="173" t="s">
        <v>101</v>
      </c>
      <c r="CI31" s="148" t="s">
        <v>139</v>
      </c>
      <c r="CJ31" s="11" t="str">
        <f t="shared" si="31"/>
        <v>9h 04m</v>
      </c>
      <c r="CK31" s="45"/>
      <c r="CL31" s="44"/>
      <c r="CM31" s="80"/>
      <c r="CN31" s="96"/>
    </row>
    <row r="32" spans="1:92" s="29" customFormat="1" ht="15" thickBot="1" x14ac:dyDescent="0.35">
      <c r="A32" s="40" t="s">
        <v>61</v>
      </c>
      <c r="B32" s="134"/>
      <c r="C32" s="135"/>
      <c r="D32" s="120" t="str">
        <f t="shared" si="25"/>
        <v>0h 00m</v>
      </c>
      <c r="E32" s="163"/>
      <c r="F32" s="134"/>
      <c r="G32" s="135"/>
      <c r="H32" s="168" t="str">
        <f t="shared" si="32"/>
        <v>0h 00m</v>
      </c>
      <c r="I32" s="136"/>
      <c r="J32" s="151"/>
      <c r="K32" s="152"/>
      <c r="L32" s="66" t="str">
        <f t="shared" si="12"/>
        <v>0h 00m</v>
      </c>
      <c r="M32" s="67"/>
      <c r="N32" s="68"/>
      <c r="O32" s="69"/>
      <c r="P32" s="69" t="str">
        <f t="shared" si="17"/>
        <v>0h 00m</v>
      </c>
      <c r="Q32" s="70"/>
      <c r="R32" s="64"/>
      <c r="S32" s="65"/>
      <c r="T32" s="69" t="str">
        <f t="shared" si="13"/>
        <v>0h 00m</v>
      </c>
      <c r="U32" s="70"/>
      <c r="V32" s="68"/>
      <c r="W32" s="69"/>
      <c r="X32" s="69" t="str">
        <f t="shared" si="14"/>
        <v>0h 00m</v>
      </c>
      <c r="Y32" s="70"/>
      <c r="Z32" s="68"/>
      <c r="AA32" s="69"/>
      <c r="AB32" s="69" t="str">
        <f t="shared" si="18"/>
        <v>0h 00m</v>
      </c>
      <c r="AC32" s="70"/>
      <c r="AD32" s="68"/>
      <c r="AE32" s="69"/>
      <c r="AF32" s="69" t="str">
        <f t="shared" si="19"/>
        <v>0h 00m</v>
      </c>
      <c r="AG32" s="70"/>
      <c r="AH32" s="64"/>
      <c r="AI32" s="65"/>
      <c r="AJ32" s="69" t="str">
        <f t="shared" si="20"/>
        <v>0h 00m</v>
      </c>
      <c r="AK32" s="70"/>
      <c r="AL32" s="64"/>
      <c r="AM32" s="65"/>
      <c r="AN32" s="69" t="str">
        <f t="shared" si="15"/>
        <v>0h 00m</v>
      </c>
      <c r="AO32" s="70"/>
      <c r="AP32" s="64"/>
      <c r="AQ32" s="65"/>
      <c r="AR32" s="69" t="str">
        <f t="shared" si="16"/>
        <v>0h 00m</v>
      </c>
      <c r="AS32" s="70"/>
      <c r="AT32" s="64"/>
      <c r="AU32" s="65"/>
      <c r="AV32" s="69" t="str">
        <f t="shared" si="21"/>
        <v>0h 00m</v>
      </c>
      <c r="AW32" s="70"/>
      <c r="AX32" s="64"/>
      <c r="AY32" s="65"/>
      <c r="AZ32" s="69" t="str">
        <f t="shared" si="22"/>
        <v>0h 00m</v>
      </c>
      <c r="BA32" s="70"/>
      <c r="BB32" s="64"/>
      <c r="BC32" s="65"/>
      <c r="BD32" s="69" t="str">
        <f t="shared" si="28"/>
        <v>0h 00m</v>
      </c>
      <c r="BE32" s="70"/>
      <c r="BF32" s="68"/>
      <c r="BG32" s="69"/>
      <c r="BH32" s="69" t="str">
        <f t="shared" si="29"/>
        <v>0h 00m</v>
      </c>
      <c r="BI32" s="70"/>
      <c r="BJ32" s="68"/>
      <c r="BK32" s="69"/>
      <c r="BL32" s="69" t="str">
        <f t="shared" si="27"/>
        <v>0h 00m</v>
      </c>
      <c r="BM32" s="70"/>
      <c r="BN32" s="68"/>
      <c r="BO32" s="69"/>
      <c r="BP32" s="69" t="str">
        <f t="shared" si="26"/>
        <v>0h 00m</v>
      </c>
      <c r="BQ32" s="70"/>
      <c r="BR32" s="64"/>
      <c r="BS32" s="65"/>
      <c r="BT32" s="69" t="str">
        <f t="shared" si="30"/>
        <v>0h 00m</v>
      </c>
      <c r="BU32" s="109"/>
      <c r="BV32" s="68"/>
      <c r="BW32" s="69"/>
      <c r="BX32" s="69" t="str">
        <f t="shared" si="33"/>
        <v>0h 00m</v>
      </c>
      <c r="BY32" s="70"/>
      <c r="BZ32" s="177"/>
      <c r="CA32" s="110"/>
      <c r="CB32" s="110" t="str">
        <f t="shared" si="23"/>
        <v>0h 00m</v>
      </c>
      <c r="CC32" s="111"/>
      <c r="CD32" s="64"/>
      <c r="CE32" s="65"/>
      <c r="CF32" s="69" t="str">
        <f t="shared" si="24"/>
        <v>0h 00m</v>
      </c>
      <c r="CG32" s="70"/>
      <c r="CH32" s="64"/>
      <c r="CI32" s="65"/>
      <c r="CJ32" s="69" t="str">
        <f t="shared" si="31"/>
        <v>0h 00m</v>
      </c>
      <c r="CK32" s="70"/>
      <c r="CL32" s="73"/>
      <c r="CM32" s="81"/>
      <c r="CN32" s="96"/>
    </row>
    <row r="33" spans="1:92" ht="15" thickBot="1" x14ac:dyDescent="0.35">
      <c r="A33" s="4"/>
      <c r="B33" s="183" t="s">
        <v>20</v>
      </c>
      <c r="C33" s="184"/>
      <c r="D33" s="116" t="str">
        <f t="shared" ref="D33" si="34">TEXT(SUMPRODUCT(VALUE(LEFT(D2:D32, FIND("h", D2:D32)-1)) + VALUE(MID(D2:D32, FIND("h", D2:D32)+2, FIND("m", D2:D32)-FIND("h", D2:D32)-2))/60)/24, "[h]:mm")</f>
        <v>164:07</v>
      </c>
      <c r="E33" s="137"/>
      <c r="F33" s="183" t="s">
        <v>20</v>
      </c>
      <c r="G33" s="184"/>
      <c r="H33" s="26" t="str">
        <f t="shared" ref="H33" si="35">TEXT(SUMPRODUCT(VALUE(LEFT(H2:H32, FIND("h", H2:H32)-1)) + VALUE(MID(H2:H32, FIND("h", H2:H32)+2, FIND("m", H2:H32)-FIND("h", H2:H32)-2))/60)/24, "[h]:mm")</f>
        <v>74:49</v>
      </c>
      <c r="I33" s="137"/>
      <c r="J33" s="183" t="s">
        <v>20</v>
      </c>
      <c r="K33" s="184"/>
      <c r="L33" s="26" t="str">
        <f t="shared" ref="L33:BH33" si="36">TEXT(SUMPRODUCT(VALUE(LEFT(L2:L32, FIND("h", L2:L32)-1)) + VALUE(MID(L2:L32, FIND("h", L2:L32)+2, FIND("m", L2:L32)-FIND("h", L2:L32)-2))/60)/24, "[h]:mm")</f>
        <v>196:12</v>
      </c>
      <c r="M33" s="18"/>
      <c r="N33" s="190" t="s">
        <v>20</v>
      </c>
      <c r="O33" s="184"/>
      <c r="P33" s="26" t="str">
        <f t="shared" si="36"/>
        <v>176:34</v>
      </c>
      <c r="Q33" s="17"/>
      <c r="R33" s="190" t="s">
        <v>20</v>
      </c>
      <c r="S33" s="184"/>
      <c r="T33" s="116" t="str">
        <f t="shared" ref="T33" si="37">TEXT(SUMPRODUCT(VALUE(LEFT(T2:T32, FIND("h", T2:T32)-1)) + VALUE(MID(T2:T32, FIND("h", T2:T32)+2, FIND("m", T2:T32)-FIND("h", T2:T32)-2))/60)/24, "[h]:mm")</f>
        <v>0:00</v>
      </c>
      <c r="U33" s="17"/>
      <c r="V33" s="190" t="s">
        <v>20</v>
      </c>
      <c r="W33" s="184"/>
      <c r="X33" s="26" t="str">
        <f t="shared" si="36"/>
        <v>195:12</v>
      </c>
      <c r="Y33" s="16"/>
      <c r="Z33" s="190" t="s">
        <v>20</v>
      </c>
      <c r="AA33" s="184"/>
      <c r="AB33" s="26" t="str">
        <f t="shared" si="36"/>
        <v>189:46</v>
      </c>
      <c r="AC33" s="13"/>
      <c r="AD33" s="190" t="s">
        <v>20</v>
      </c>
      <c r="AE33" s="184"/>
      <c r="AF33" s="26" t="str">
        <f t="shared" si="36"/>
        <v>188:06</v>
      </c>
      <c r="AG33" s="13"/>
      <c r="AH33" s="190" t="s">
        <v>20</v>
      </c>
      <c r="AI33" s="184"/>
      <c r="AJ33" s="26" t="str">
        <f t="shared" si="36"/>
        <v>91:06</v>
      </c>
      <c r="AK33" s="13"/>
      <c r="AL33" s="190" t="s">
        <v>20</v>
      </c>
      <c r="AM33" s="184"/>
      <c r="AN33" s="26" t="str">
        <f t="shared" si="36"/>
        <v>186:24</v>
      </c>
      <c r="AO33" s="13"/>
      <c r="AP33" s="190" t="s">
        <v>20</v>
      </c>
      <c r="AQ33" s="184"/>
      <c r="AR33" s="26" t="str">
        <f t="shared" si="36"/>
        <v>176:32</v>
      </c>
      <c r="AS33" s="13"/>
      <c r="AT33" s="190" t="s">
        <v>20</v>
      </c>
      <c r="AU33" s="184"/>
      <c r="AV33" s="26" t="str">
        <f t="shared" si="36"/>
        <v>176:20</v>
      </c>
      <c r="AW33" s="13"/>
      <c r="AX33" s="190" t="s">
        <v>20</v>
      </c>
      <c r="AY33" s="184"/>
      <c r="AZ33" s="26" t="str">
        <f t="shared" si="36"/>
        <v>158:32</v>
      </c>
      <c r="BA33" s="13"/>
      <c r="BB33" s="190" t="s">
        <v>20</v>
      </c>
      <c r="BC33" s="184"/>
      <c r="BD33" s="26" t="str">
        <f t="shared" si="36"/>
        <v>49:38</v>
      </c>
      <c r="BE33" s="13"/>
      <c r="BF33" s="190" t="s">
        <v>20</v>
      </c>
      <c r="BG33" s="184"/>
      <c r="BH33" s="26" t="str">
        <f t="shared" si="36"/>
        <v>129:48</v>
      </c>
      <c r="BI33" s="13"/>
      <c r="BJ33" s="190" t="s">
        <v>20</v>
      </c>
      <c r="BK33" s="184"/>
      <c r="BL33" s="26" t="str">
        <f t="shared" ref="BL33:CF33" si="38">TEXT(SUMPRODUCT(VALUE(LEFT(BL2:BL32, FIND("h", BL2:BL32)-1)) + VALUE(MID(BL2:BL32, FIND("h", BL2:BL32)+2, FIND("m", BL2:BL32)-FIND("h", BL2:BL32)-2))/60)/24, "[h]:mm")</f>
        <v>146:21</v>
      </c>
      <c r="BM33" s="13"/>
      <c r="BN33" s="190" t="s">
        <v>20</v>
      </c>
      <c r="BO33" s="184"/>
      <c r="BP33" s="26" t="str">
        <f t="shared" si="38"/>
        <v>159:45</v>
      </c>
      <c r="BQ33" s="13"/>
      <c r="BR33" s="190" t="s">
        <v>20</v>
      </c>
      <c r="BS33" s="184"/>
      <c r="BT33" s="26" t="str">
        <f t="shared" si="38"/>
        <v>27:15</v>
      </c>
      <c r="BU33" s="13"/>
      <c r="BV33" s="190" t="s">
        <v>20</v>
      </c>
      <c r="BW33" s="184"/>
      <c r="BX33" s="26" t="str">
        <f t="shared" si="38"/>
        <v>206:40</v>
      </c>
      <c r="BY33" s="26"/>
      <c r="BZ33" s="190" t="s">
        <v>20</v>
      </c>
      <c r="CA33" s="184"/>
      <c r="CB33" s="26" t="str">
        <f t="shared" si="38"/>
        <v>180:37</v>
      </c>
      <c r="CC33" s="112"/>
      <c r="CD33" s="190" t="s">
        <v>20</v>
      </c>
      <c r="CE33" s="184"/>
      <c r="CF33" s="26" t="str">
        <f t="shared" si="38"/>
        <v>54:49</v>
      </c>
      <c r="CG33" s="13"/>
      <c r="CH33" s="190" t="s">
        <v>20</v>
      </c>
      <c r="CI33" s="184"/>
      <c r="CJ33" s="26" t="str">
        <f>TEXT(SUMPRODUCT(VALUE(LEFT(CJ2:CJ32, FIND("h", CJ2:CJ32)-1)) + VALUE(MID(CJ2:CJ32, FIND("h", CJ2:CJ32)+2, FIND("m", CJ2:CJ32)-FIND("h", CJ2:CJ32)-2))/60)/24, "[h]:mm")</f>
        <v>137:16</v>
      </c>
      <c r="CK33" s="6"/>
    </row>
    <row r="34" spans="1:92" ht="15" thickBot="1" x14ac:dyDescent="0.35">
      <c r="A34" s="4"/>
      <c r="B34" s="138"/>
      <c r="C34" s="138"/>
      <c r="D34" s="14"/>
      <c r="E34" s="14"/>
      <c r="F34" s="14"/>
      <c r="G34" s="14"/>
      <c r="H34" s="14"/>
      <c r="I34" s="14"/>
      <c r="L34" s="14"/>
      <c r="M34" s="6"/>
      <c r="N34" s="6"/>
      <c r="O34" s="6"/>
      <c r="P34" s="14"/>
      <c r="Q34" s="6"/>
      <c r="R34" s="6"/>
      <c r="S34" s="6"/>
      <c r="U34" s="6"/>
      <c r="V34" s="6"/>
      <c r="W34" s="6"/>
      <c r="Y34" s="6"/>
      <c r="Z34" s="6"/>
      <c r="AA34" s="6"/>
      <c r="AC34" s="6"/>
      <c r="AD34" s="6"/>
      <c r="AE34" s="6"/>
      <c r="AG34" s="6"/>
      <c r="AH34" s="6"/>
      <c r="AI34" s="6"/>
      <c r="AK34" s="6"/>
      <c r="AL34" s="6"/>
      <c r="AM34" s="6"/>
      <c r="AO34" s="6"/>
      <c r="AP34" s="6"/>
      <c r="AQ34" s="6"/>
      <c r="AS34" s="6"/>
      <c r="AT34" s="6"/>
      <c r="AU34" s="6"/>
      <c r="AW34" s="6"/>
      <c r="AX34" s="6"/>
      <c r="AY34" s="6"/>
      <c r="BA34" s="6"/>
      <c r="BB34" s="6"/>
      <c r="BC34" s="6"/>
      <c r="BE34" s="6"/>
      <c r="BF34" s="6"/>
      <c r="BG34" s="6"/>
      <c r="BI34" s="6"/>
      <c r="BJ34" s="6"/>
      <c r="BK34" s="6"/>
      <c r="BM34" s="6"/>
      <c r="BN34" s="6"/>
      <c r="BO34" s="6"/>
      <c r="BQ34" s="6"/>
      <c r="BR34" s="6"/>
      <c r="BS34" s="6"/>
      <c r="BU34" s="6"/>
      <c r="BV34" s="6"/>
      <c r="BW34" s="6"/>
      <c r="BX34" s="6"/>
      <c r="CC34" s="6"/>
      <c r="CD34" s="6"/>
      <c r="CE34" s="6"/>
      <c r="CG34" s="6"/>
      <c r="CH34" s="6"/>
      <c r="CI34" s="6"/>
      <c r="CK34" s="6"/>
      <c r="CL34" s="6"/>
      <c r="CM34" s="6"/>
    </row>
    <row r="35" spans="1:92" ht="15" thickBot="1" x14ac:dyDescent="0.35">
      <c r="A35" s="178" t="s">
        <v>21</v>
      </c>
      <c r="B35" s="190" t="s">
        <v>25</v>
      </c>
      <c r="C35" s="184"/>
      <c r="D35" s="15"/>
      <c r="E35" s="15"/>
      <c r="F35" s="15"/>
      <c r="G35" s="15"/>
      <c r="H35" s="15"/>
      <c r="I35" s="15"/>
      <c r="P35" s="14"/>
      <c r="Q35" s="14"/>
      <c r="CJ35" s="94"/>
      <c r="CK35" s="6"/>
      <c r="CL35" s="6"/>
      <c r="CM35" s="6"/>
      <c r="CN35" s="6"/>
    </row>
    <row r="36" spans="1:92" x14ac:dyDescent="0.3">
      <c r="A36" s="34"/>
      <c r="B36" s="193" t="s">
        <v>22</v>
      </c>
      <c r="C36" s="194"/>
      <c r="D36" s="14"/>
      <c r="E36" s="14"/>
      <c r="F36" s="14"/>
      <c r="G36" s="14"/>
      <c r="H36" s="14"/>
      <c r="I36" s="14"/>
      <c r="L36" s="14"/>
      <c r="M36" s="14"/>
      <c r="P36" s="14"/>
      <c r="Q36" s="14"/>
      <c r="CJ36" s="94"/>
      <c r="CK36" s="6"/>
      <c r="CL36" s="6"/>
      <c r="CM36" s="6"/>
      <c r="CN36" s="6"/>
    </row>
    <row r="37" spans="1:92" x14ac:dyDescent="0.3">
      <c r="A37" s="35"/>
      <c r="B37" s="188" t="s">
        <v>23</v>
      </c>
      <c r="C37" s="189"/>
      <c r="D37" s="14"/>
      <c r="E37" s="14"/>
      <c r="F37" s="14"/>
      <c r="G37" s="14"/>
      <c r="H37" s="14"/>
      <c r="I37" s="14"/>
      <c r="L37" s="14"/>
      <c r="M37" s="14"/>
      <c r="P37" s="14"/>
      <c r="Q37" s="14"/>
      <c r="CJ37" s="94"/>
      <c r="CK37" s="6"/>
      <c r="CL37" s="6"/>
      <c r="CM37" s="6"/>
      <c r="CN37" s="6"/>
    </row>
    <row r="38" spans="1:92" x14ac:dyDescent="0.3">
      <c r="A38" s="36"/>
      <c r="B38" s="188" t="s">
        <v>24</v>
      </c>
      <c r="C38" s="189"/>
      <c r="D38" s="14"/>
      <c r="E38" s="14"/>
      <c r="F38" s="14"/>
      <c r="G38" s="14"/>
      <c r="H38" s="14"/>
      <c r="I38" s="14"/>
      <c r="L38" s="14"/>
      <c r="M38" s="14"/>
      <c r="P38" s="14"/>
      <c r="Q38" s="14"/>
      <c r="CJ38" s="94"/>
      <c r="CK38" s="6"/>
      <c r="CL38" s="6"/>
      <c r="CM38" s="6"/>
      <c r="CN38" s="6"/>
    </row>
    <row r="39" spans="1:92" x14ac:dyDescent="0.3">
      <c r="A39" s="37"/>
      <c r="B39" s="188" t="s">
        <v>29</v>
      </c>
      <c r="C39" s="189"/>
      <c r="D39" s="15"/>
      <c r="E39" s="15"/>
      <c r="F39" s="15"/>
      <c r="G39" s="15"/>
      <c r="H39" s="15"/>
      <c r="I39" s="15"/>
      <c r="P39" s="14"/>
      <c r="Q39" s="14"/>
      <c r="CC39" s="74"/>
      <c r="CJ39" s="94"/>
      <c r="CK39" s="6"/>
      <c r="CL39" s="6"/>
      <c r="CM39" s="6"/>
      <c r="CN39" s="6"/>
    </row>
    <row r="40" spans="1:92" x14ac:dyDescent="0.3">
      <c r="A40" s="38"/>
      <c r="B40" s="188" t="s">
        <v>28</v>
      </c>
      <c r="C40" s="189"/>
      <c r="D40" s="15"/>
      <c r="E40" s="15"/>
      <c r="F40" s="15"/>
      <c r="G40" s="15"/>
      <c r="H40" s="15"/>
      <c r="I40" s="15"/>
      <c r="P40" s="14"/>
      <c r="Q40" s="14"/>
      <c r="CJ40" s="94"/>
      <c r="CK40" s="6"/>
      <c r="CL40" s="6"/>
      <c r="CM40" s="6"/>
      <c r="CN40" s="6"/>
    </row>
    <row r="41" spans="1:92" x14ac:dyDescent="0.3">
      <c r="A41" s="179"/>
      <c r="B41" s="191" t="s">
        <v>30</v>
      </c>
      <c r="C41" s="192"/>
      <c r="D41" s="15"/>
      <c r="E41" s="15"/>
      <c r="F41" s="15"/>
      <c r="G41" s="15"/>
      <c r="H41" s="15"/>
      <c r="I41" s="15"/>
      <c r="P41" s="14"/>
      <c r="Q41" s="14"/>
      <c r="CJ41" s="94"/>
      <c r="CK41" s="6"/>
      <c r="CL41" s="6"/>
      <c r="CM41" s="6"/>
      <c r="CN41" s="6"/>
    </row>
    <row r="42" spans="1:92" ht="15" thickBot="1" x14ac:dyDescent="0.35">
      <c r="A42" s="180"/>
      <c r="B42" s="201" t="s">
        <v>127</v>
      </c>
      <c r="C42" s="202"/>
      <c r="D42" s="141"/>
      <c r="E42" s="141"/>
      <c r="F42" s="141"/>
      <c r="G42" s="141"/>
      <c r="H42" s="141"/>
      <c r="I42" s="141"/>
    </row>
    <row r="43" spans="1:92" x14ac:dyDescent="0.3">
      <c r="A43" s="4"/>
      <c r="B43" s="139"/>
      <c r="C43" s="139"/>
      <c r="D43" s="139"/>
      <c r="E43" s="139"/>
      <c r="F43" s="139"/>
      <c r="G43" s="139"/>
      <c r="H43" s="139"/>
      <c r="I43" s="139"/>
    </row>
    <row r="44" spans="1:92" x14ac:dyDescent="0.3">
      <c r="A44" s="4"/>
      <c r="B44" s="139"/>
      <c r="C44" s="139"/>
      <c r="D44" s="139"/>
      <c r="E44" s="139"/>
      <c r="F44" s="139"/>
      <c r="G44" s="139"/>
      <c r="H44" s="139"/>
      <c r="I44" s="139"/>
    </row>
    <row r="45" spans="1:92" x14ac:dyDescent="0.3">
      <c r="A45" s="4"/>
      <c r="B45" s="139"/>
      <c r="C45" s="139"/>
      <c r="D45" s="139"/>
      <c r="E45" s="139"/>
      <c r="F45" s="139"/>
      <c r="G45" s="139"/>
      <c r="H45" s="139"/>
      <c r="I45" s="139"/>
    </row>
    <row r="46" spans="1:92" x14ac:dyDescent="0.3">
      <c r="A46" s="4"/>
      <c r="B46" s="139"/>
      <c r="C46" s="139"/>
      <c r="D46" s="139"/>
      <c r="E46" s="139"/>
      <c r="F46" s="139"/>
      <c r="G46" s="139"/>
      <c r="H46" s="139"/>
      <c r="I46" s="139"/>
    </row>
    <row r="47" spans="1:92" x14ac:dyDescent="0.3">
      <c r="A47" s="4"/>
      <c r="B47" s="139"/>
      <c r="C47" s="139"/>
      <c r="D47" s="139"/>
      <c r="E47" s="139"/>
      <c r="F47" s="139"/>
      <c r="G47" s="139"/>
      <c r="H47" s="139"/>
      <c r="I47" s="139"/>
    </row>
    <row r="48" spans="1:92" x14ac:dyDescent="0.3">
      <c r="A48" s="4"/>
      <c r="B48" s="139"/>
      <c r="C48" s="139"/>
      <c r="D48" s="139"/>
      <c r="E48" s="139"/>
      <c r="F48" s="139"/>
      <c r="G48" s="139"/>
      <c r="H48" s="139"/>
      <c r="I48" s="139"/>
    </row>
    <row r="49" spans="1:9" x14ac:dyDescent="0.3">
      <c r="A49" s="4"/>
      <c r="B49" s="139"/>
      <c r="C49" s="139"/>
      <c r="D49" s="139"/>
      <c r="E49" s="139"/>
      <c r="F49" s="139"/>
      <c r="G49" s="139"/>
      <c r="H49" s="139"/>
      <c r="I49" s="139"/>
    </row>
    <row r="50" spans="1:9" x14ac:dyDescent="0.3">
      <c r="A50" s="4"/>
      <c r="B50" s="139"/>
      <c r="C50" s="139"/>
      <c r="D50" s="139"/>
      <c r="E50" s="139"/>
      <c r="F50" s="139"/>
      <c r="G50" s="139"/>
      <c r="H50" s="139"/>
      <c r="I50" s="139"/>
    </row>
    <row r="51" spans="1:9" x14ac:dyDescent="0.3">
      <c r="A51" s="4"/>
      <c r="B51" s="139"/>
      <c r="C51" s="139"/>
      <c r="D51" s="139"/>
      <c r="E51" s="139"/>
      <c r="F51" s="139"/>
      <c r="G51" s="139"/>
      <c r="H51" s="139"/>
      <c r="I51" s="139"/>
    </row>
    <row r="52" spans="1:9" x14ac:dyDescent="0.3">
      <c r="A52" s="4"/>
      <c r="B52" s="139"/>
      <c r="C52" s="139"/>
      <c r="D52" s="139"/>
      <c r="E52" s="139"/>
      <c r="F52" s="139"/>
      <c r="G52" s="139"/>
      <c r="H52" s="139"/>
      <c r="I52" s="139"/>
    </row>
    <row r="53" spans="1:9" x14ac:dyDescent="0.3">
      <c r="A53" s="4"/>
      <c r="B53" s="139"/>
      <c r="C53" s="139"/>
      <c r="D53" s="139"/>
      <c r="E53" s="139"/>
      <c r="F53" s="139"/>
      <c r="G53" s="139"/>
      <c r="H53" s="139"/>
      <c r="I53" s="139"/>
    </row>
    <row r="54" spans="1:9" x14ac:dyDescent="0.3">
      <c r="A54" s="4"/>
      <c r="B54" s="139"/>
      <c r="C54" s="139"/>
      <c r="D54" s="139"/>
      <c r="E54" s="139"/>
      <c r="F54" s="139"/>
      <c r="G54" s="139"/>
      <c r="H54" s="139"/>
      <c r="I54" s="139"/>
    </row>
    <row r="55" spans="1:9" x14ac:dyDescent="0.3">
      <c r="A55" s="4"/>
      <c r="B55" s="139"/>
      <c r="C55" s="139"/>
      <c r="D55" s="139"/>
      <c r="E55" s="139"/>
      <c r="F55" s="139"/>
      <c r="G55" s="139"/>
      <c r="H55" s="139"/>
      <c r="I55" s="139"/>
    </row>
    <row r="56" spans="1:9" x14ac:dyDescent="0.3">
      <c r="A56" s="4"/>
      <c r="B56" s="139"/>
      <c r="C56" s="139"/>
      <c r="D56" s="139"/>
      <c r="E56" s="139"/>
      <c r="F56" s="139"/>
      <c r="G56" s="139"/>
      <c r="H56" s="139"/>
      <c r="I56" s="139"/>
    </row>
    <row r="57" spans="1:9" x14ac:dyDescent="0.3">
      <c r="A57" s="4"/>
      <c r="B57" s="139"/>
      <c r="C57" s="139"/>
      <c r="D57" s="139"/>
      <c r="E57" s="139"/>
      <c r="F57" s="139"/>
      <c r="G57" s="139"/>
      <c r="H57" s="139"/>
      <c r="I57" s="139"/>
    </row>
    <row r="58" spans="1:9" x14ac:dyDescent="0.3">
      <c r="A58" s="4"/>
      <c r="B58" s="139"/>
      <c r="C58" s="139"/>
      <c r="D58" s="139"/>
      <c r="E58" s="139"/>
      <c r="F58" s="139"/>
      <c r="G58" s="139"/>
      <c r="H58" s="139"/>
      <c r="I58" s="139"/>
    </row>
  </sheetData>
  <mergeCells count="52">
    <mergeCell ref="B42:C42"/>
    <mergeCell ref="AT1:AW1"/>
    <mergeCell ref="AP1:AS1"/>
    <mergeCell ref="AL1:AO1"/>
    <mergeCell ref="BJ1:BM1"/>
    <mergeCell ref="BF1:BI1"/>
    <mergeCell ref="BB1:BE1"/>
    <mergeCell ref="AX1:BA1"/>
    <mergeCell ref="J1:M1"/>
    <mergeCell ref="R1:U1"/>
    <mergeCell ref="AL33:AM33"/>
    <mergeCell ref="J33:K33"/>
    <mergeCell ref="N33:O33"/>
    <mergeCell ref="R33:S33"/>
    <mergeCell ref="AH1:AK1"/>
    <mergeCell ref="AD1:AG1"/>
    <mergeCell ref="CH1:CK1"/>
    <mergeCell ref="CD1:CG1"/>
    <mergeCell ref="BZ1:CC1"/>
    <mergeCell ref="BR1:BU1"/>
    <mergeCell ref="BN1:BQ1"/>
    <mergeCell ref="BV1:BY1"/>
    <mergeCell ref="Z1:AC1"/>
    <mergeCell ref="V1:Y1"/>
    <mergeCell ref="N1:Q1"/>
    <mergeCell ref="V33:W33"/>
    <mergeCell ref="BZ33:CA33"/>
    <mergeCell ref="AP33:AQ33"/>
    <mergeCell ref="AT33:AU33"/>
    <mergeCell ref="Z33:AA33"/>
    <mergeCell ref="AD33:AE33"/>
    <mergeCell ref="AH33:AI33"/>
    <mergeCell ref="CD33:CE33"/>
    <mergeCell ref="CH33:CI33"/>
    <mergeCell ref="AX33:AY33"/>
    <mergeCell ref="BB33:BC33"/>
    <mergeCell ref="BF33:BG33"/>
    <mergeCell ref="BJ33:BK33"/>
    <mergeCell ref="BN33:BO33"/>
    <mergeCell ref="BV33:BW33"/>
    <mergeCell ref="BR33:BS33"/>
    <mergeCell ref="B41:C41"/>
    <mergeCell ref="B36:C36"/>
    <mergeCell ref="B37:C37"/>
    <mergeCell ref="B38:C38"/>
    <mergeCell ref="B39:C39"/>
    <mergeCell ref="F33:G33"/>
    <mergeCell ref="F1:I1"/>
    <mergeCell ref="B1:E1"/>
    <mergeCell ref="B33:C33"/>
    <mergeCell ref="B40:C40"/>
    <mergeCell ref="B35:C3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Storbeck</dc:creator>
  <cp:lastModifiedBy>Linda</cp:lastModifiedBy>
  <dcterms:created xsi:type="dcterms:W3CDTF">2025-11-03T05:30:46Z</dcterms:created>
  <dcterms:modified xsi:type="dcterms:W3CDTF">2026-02-02T07:40:51Z</dcterms:modified>
</cp:coreProperties>
</file>