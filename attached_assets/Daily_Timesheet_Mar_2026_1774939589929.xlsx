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EC Electronics\Desktop\Daily Timesheets\"/>
    </mc:Choice>
  </mc:AlternateContent>
  <xr:revisionPtr revIDLastSave="0" documentId="13_ncr:1_{A7C439C9-EC25-45FC-B5EC-2211F29386E4}" xr6:coauthVersionLast="47" xr6:coauthVersionMax="47" xr10:uidLastSave="{00000000-0000-0000-0000-000000000000}"/>
  <bookViews>
    <workbookView xWindow="-108" yWindow="-108" windowWidth="23256" windowHeight="12576" xr2:uid="{5196A857-277C-477E-B759-3AECDF38C2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21" i="1"/>
  <c r="X2" i="1"/>
  <c r="X3" i="1"/>
  <c r="X4" i="1"/>
  <c r="X5" i="1"/>
  <c r="X6" i="1"/>
  <c r="X7" i="1"/>
  <c r="X8" i="1"/>
  <c r="X9" i="1"/>
  <c r="X10" i="1"/>
  <c r="X11" i="1"/>
  <c r="X12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1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BD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X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X33" i="1" l="1"/>
  <c r="L33" i="1"/>
  <c r="BD33" i="1"/>
  <c r="BX33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2" i="1"/>
  <c r="AV31" i="1"/>
  <c r="AV33" i="1" l="1"/>
  <c r="CR30" i="1"/>
  <c r="CR31" i="1"/>
  <c r="CR32" i="1"/>
  <c r="CN30" i="1"/>
  <c r="CN31" i="1"/>
  <c r="CN32" i="1"/>
  <c r="CJ30" i="1"/>
  <c r="CJ31" i="1"/>
  <c r="CJ32" i="1"/>
  <c r="CF30" i="1"/>
  <c r="CF31" i="1"/>
  <c r="CF32" i="1"/>
  <c r="CB30" i="1"/>
  <c r="CB31" i="1"/>
  <c r="CB32" i="1"/>
  <c r="BT30" i="1"/>
  <c r="BT31" i="1"/>
  <c r="BT32" i="1"/>
  <c r="BP30" i="1"/>
  <c r="BP31" i="1"/>
  <c r="BP32" i="1"/>
  <c r="BL30" i="1"/>
  <c r="BL31" i="1"/>
  <c r="BL32" i="1"/>
  <c r="BH29" i="1"/>
  <c r="BH30" i="1"/>
  <c r="BH31" i="1"/>
  <c r="BH32" i="1"/>
  <c r="AZ30" i="1"/>
  <c r="AZ31" i="1"/>
  <c r="AZ32" i="1"/>
  <c r="AR29" i="1"/>
  <c r="AR30" i="1"/>
  <c r="AR31" i="1"/>
  <c r="AR32" i="1"/>
  <c r="AN30" i="1"/>
  <c r="AN31" i="1"/>
  <c r="AN32" i="1"/>
  <c r="AJ30" i="1"/>
  <c r="AJ31" i="1"/>
  <c r="AJ32" i="1"/>
  <c r="AF30" i="1"/>
  <c r="AF31" i="1"/>
  <c r="AF32" i="1"/>
  <c r="AB30" i="1"/>
  <c r="AB31" i="1"/>
  <c r="AB32" i="1"/>
  <c r="T29" i="1"/>
  <c r="T30" i="1"/>
  <c r="T31" i="1"/>
  <c r="T32" i="1"/>
  <c r="P30" i="1"/>
  <c r="P31" i="1"/>
  <c r="P32" i="1"/>
  <c r="H32" i="1"/>
  <c r="H29" i="1"/>
  <c r="H30" i="1"/>
  <c r="H31" i="1"/>
  <c r="D30" i="1"/>
  <c r="D31" i="1"/>
  <c r="D32" i="1"/>
  <c r="CF29" i="1" l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CF3" i="1"/>
  <c r="CF2" i="1"/>
  <c r="D29" i="1"/>
  <c r="D28" i="1"/>
  <c r="D27" i="1"/>
  <c r="D26" i="1"/>
  <c r="D25" i="1"/>
  <c r="D23" i="1"/>
  <c r="D22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28" i="1"/>
  <c r="H27" i="1"/>
  <c r="H26" i="1"/>
  <c r="H2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P2" i="1"/>
  <c r="T2" i="1"/>
  <c r="AF21" i="1" s="1"/>
  <c r="P3" i="1"/>
  <c r="P4" i="1"/>
  <c r="T4" i="1"/>
  <c r="P5" i="1"/>
  <c r="T5" i="1"/>
  <c r="P6" i="1"/>
  <c r="T6" i="1"/>
  <c r="P7" i="1"/>
  <c r="T7" i="1"/>
  <c r="P8" i="1"/>
  <c r="T8" i="1"/>
  <c r="P9" i="1"/>
  <c r="T9" i="1"/>
  <c r="P10" i="1"/>
  <c r="T10" i="1"/>
  <c r="P11" i="1"/>
  <c r="P12" i="1"/>
  <c r="T12" i="1"/>
  <c r="P13" i="1"/>
  <c r="T13" i="1"/>
  <c r="P14" i="1"/>
  <c r="T14" i="1"/>
  <c r="P15" i="1"/>
  <c r="T15" i="1"/>
  <c r="P16" i="1"/>
  <c r="T16" i="1"/>
  <c r="P17" i="1"/>
  <c r="T17" i="1"/>
  <c r="P18" i="1"/>
  <c r="T18" i="1"/>
  <c r="P19" i="1"/>
  <c r="T19" i="1"/>
  <c r="P20" i="1"/>
  <c r="T20" i="1"/>
  <c r="P21" i="1"/>
  <c r="P24" i="1" s="1"/>
  <c r="T21" i="1"/>
  <c r="P22" i="1"/>
  <c r="T22" i="1"/>
  <c r="P23" i="1"/>
  <c r="T23" i="1"/>
  <c r="T24" i="1"/>
  <c r="P25" i="1"/>
  <c r="T25" i="1"/>
  <c r="P26" i="1"/>
  <c r="T26" i="1"/>
  <c r="P27" i="1"/>
  <c r="T27" i="1"/>
  <c r="P28" i="1"/>
  <c r="T28" i="1"/>
  <c r="P29" i="1"/>
  <c r="AB3" i="1"/>
  <c r="AB4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2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BT7" i="1"/>
  <c r="BT8" i="1"/>
  <c r="BT9" i="1"/>
  <c r="BT10" i="1"/>
  <c r="BT11" i="1"/>
  <c r="BT12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P29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CR2" i="1"/>
  <c r="CR3" i="1"/>
  <c r="CR4" i="1"/>
  <c r="CR5" i="1"/>
  <c r="CN2" i="1"/>
  <c r="CN3" i="1"/>
  <c r="CN4" i="1"/>
  <c r="CN5" i="1"/>
  <c r="CJ2" i="1"/>
  <c r="CJ3" i="1"/>
  <c r="CJ4" i="1"/>
  <c r="CJ5" i="1"/>
  <c r="CB2" i="1"/>
  <c r="CB3" i="1"/>
  <c r="CB4" i="1"/>
  <c r="CB5" i="1"/>
  <c r="BT2" i="1"/>
  <c r="BT3" i="1"/>
  <c r="BT4" i="1"/>
  <c r="BT5" i="1"/>
  <c r="BP2" i="1"/>
  <c r="BP3" i="1"/>
  <c r="BP4" i="1"/>
  <c r="BP5" i="1"/>
  <c r="BL2" i="1"/>
  <c r="BL3" i="1"/>
  <c r="BL4" i="1"/>
  <c r="BL5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" i="1"/>
  <c r="BH3" i="1"/>
  <c r="BH4" i="1"/>
  <c r="BH5" i="1"/>
  <c r="BH6" i="1"/>
  <c r="BL6" i="1" s="1"/>
  <c r="BP6" i="1" s="1"/>
  <c r="BT6" i="1" s="1"/>
  <c r="CB6" i="1" s="1"/>
  <c r="CJ6" i="1" s="1"/>
  <c r="CN6" i="1" s="1"/>
  <c r="CR6" i="1" s="1"/>
  <c r="AZ7" i="1"/>
  <c r="AZ8" i="1"/>
  <c r="AZ9" i="1"/>
  <c r="AZ10" i="1"/>
  <c r="AZ11" i="1"/>
  <c r="AZ12" i="1"/>
  <c r="AZ13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" i="1"/>
  <c r="AZ4" i="1"/>
  <c r="AZ5" i="1"/>
  <c r="AZ6" i="1"/>
  <c r="AZ2" i="1"/>
  <c r="AR3" i="1"/>
  <c r="AR4" i="1"/>
  <c r="AR5" i="1"/>
  <c r="AR6" i="1"/>
  <c r="AR7" i="1"/>
  <c r="AR8" i="1"/>
  <c r="AR9" i="1"/>
  <c r="AR10" i="1"/>
  <c r="AR11" i="1"/>
  <c r="AR12" i="1"/>
  <c r="AR13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2" i="1"/>
  <c r="AF23" i="1"/>
  <c r="AF24" i="1"/>
  <c r="AF25" i="1"/>
  <c r="AF26" i="1"/>
  <c r="AF27" i="1"/>
  <c r="AF28" i="1"/>
  <c r="AF29" i="1"/>
  <c r="AF2" i="1"/>
  <c r="AR14" i="1" l="1"/>
  <c r="AZ14" i="1"/>
  <c r="BT13" i="1"/>
  <c r="T11" i="1"/>
  <c r="AB6" i="1"/>
  <c r="AB5" i="1"/>
  <c r="AB33" i="1" s="1"/>
  <c r="T3" i="1"/>
  <c r="CF33" i="1"/>
  <c r="H24" i="1"/>
  <c r="D24" i="1"/>
  <c r="D33" i="1" s="1"/>
  <c r="P33" i="1"/>
  <c r="H33" i="1"/>
  <c r="CB33" i="1"/>
  <c r="AF33" i="1"/>
  <c r="AR33" i="1"/>
  <c r="AN33" i="1"/>
  <c r="BH33" i="1"/>
  <c r="BP33" i="1"/>
  <c r="BT33" i="1"/>
  <c r="CJ33" i="1"/>
  <c r="CN33" i="1"/>
  <c r="CR33" i="1"/>
  <c r="BL33" i="1"/>
  <c r="AJ33" i="1"/>
  <c r="AZ33" i="1"/>
  <c r="T33" i="1" l="1"/>
</calcChain>
</file>

<file path=xl/sharedStrings.xml><?xml version="1.0" encoding="utf-8"?>
<sst xmlns="http://schemas.openxmlformats.org/spreadsheetml/2006/main" count="116" uniqueCount="82">
  <si>
    <t>Name</t>
  </si>
  <si>
    <t>Jacques</t>
  </si>
  <si>
    <t>Sifiso</t>
  </si>
  <si>
    <t>Jeanette</t>
  </si>
  <si>
    <t>Ntsane</t>
  </si>
  <si>
    <t>Peace</t>
  </si>
  <si>
    <t>Lefa</t>
  </si>
  <si>
    <t>Newton</t>
  </si>
  <si>
    <t>James</t>
  </si>
  <si>
    <t>Nick</t>
  </si>
  <si>
    <t>Martin</t>
  </si>
  <si>
    <t>Sabelo</t>
  </si>
  <si>
    <t>Braiden</t>
  </si>
  <si>
    <t>Tracey H</t>
  </si>
  <si>
    <t>Charl</t>
  </si>
  <si>
    <t>Jane</t>
  </si>
  <si>
    <t>Tracy Mpala</t>
  </si>
  <si>
    <t>Monthly Total</t>
  </si>
  <si>
    <t>Colour</t>
  </si>
  <si>
    <t xml:space="preserve">Unpaid Leave </t>
  </si>
  <si>
    <t>Sick Leave</t>
  </si>
  <si>
    <t>Leave</t>
  </si>
  <si>
    <t>Meaning</t>
  </si>
  <si>
    <t>Gerhard</t>
  </si>
  <si>
    <t>William</t>
  </si>
  <si>
    <t>AWOL</t>
  </si>
  <si>
    <t>Half Day Leave</t>
  </si>
  <si>
    <t>Public Holiday</t>
  </si>
  <si>
    <t>Family Responsiblility</t>
  </si>
  <si>
    <t>Arib</t>
  </si>
  <si>
    <t>Boitumelo</t>
  </si>
  <si>
    <t>Stef V.D Westhuizen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</si>
  <si>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</si>
  <si>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</si>
  <si>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</si>
  <si>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</si>
  <si>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</si>
  <si>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</si>
  <si>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</si>
  <si>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</si>
  <si>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</si>
  <si>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</si>
  <si>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</si>
  <si>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</si>
  <si>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</si>
  <si>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</si>
  <si>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</si>
  <si>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</si>
  <si>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</si>
  <si>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</si>
  <si>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</si>
  <si>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</si>
  <si>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</si>
  <si>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</si>
  <si>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</si>
  <si>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</si>
  <si>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</si>
  <si>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</si>
  <si>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</si>
  <si>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</si>
  <si>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</si>
  <si>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</si>
  <si>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</si>
  <si>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SICK</t>
  </si>
  <si>
    <t>LEAVE</t>
  </si>
  <si>
    <t>AEC00123</t>
  </si>
  <si>
    <t>AEC00124</t>
  </si>
  <si>
    <t>AEC00113</t>
  </si>
  <si>
    <t>Keanu</t>
  </si>
  <si>
    <t>UNPAID</t>
  </si>
  <si>
    <t>AEC00126</t>
  </si>
  <si>
    <t>AEC00129</t>
  </si>
  <si>
    <t>AEC00128</t>
  </si>
  <si>
    <t>ANNUAL</t>
  </si>
  <si>
    <t>Work on Martins bakkie (approved/instructed by Martin)</t>
  </si>
  <si>
    <t>Shimone Wiese</t>
  </si>
  <si>
    <t>Lizzy</t>
  </si>
  <si>
    <t xml:space="preserve">Bianca </t>
  </si>
  <si>
    <t>Chloe</t>
  </si>
  <si>
    <t>16;19</t>
  </si>
  <si>
    <t>AEC00130</t>
  </si>
  <si>
    <t>AECE00131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</si>
</sst>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0" fillId="0" borderId="0" xfId="0" applyNumberForma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1" fillId="2" borderId="4" xfId="0" applyNumberFormat="1" applyFont="1" applyFill="1" applyBorder="1" applyAlignment="1" applyProtection="1">
      <alignment horizontal="center" vertical="center"/>
      <protection locked="0"/>
    </xf>
    <xf numFmtId="2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20" fontId="1" fillId="2" borderId="3" xfId="0" applyNumberFormat="1" applyFont="1" applyFill="1" applyBorder="1" applyAlignment="1" applyProtection="1">
      <alignment horizontal="center" vertical="center"/>
      <protection locked="0"/>
    </xf>
    <xf numFmtId="20" fontId="3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20" fontId="1" fillId="2" borderId="12" xfId="0" applyNumberFormat="1" applyFont="1" applyFill="1" applyBorder="1" applyAlignment="1" applyProtection="1">
      <alignment horizontal="center" vertical="center"/>
      <protection locked="0"/>
    </xf>
    <xf numFmtId="2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20" fontId="1" fillId="2" borderId="14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20" fontId="3" fillId="2" borderId="12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19" fontId="1" fillId="2" borderId="17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9" fontId="1" fillId="2" borderId="12" xfId="0" applyNumberFormat="1" applyFont="1" applyFill="1" applyBorder="1" applyAlignment="1" applyProtection="1">
      <alignment horizontal="center" vertical="center"/>
      <protection locked="0"/>
    </xf>
    <xf numFmtId="19" fontId="1" fillId="2" borderId="3" xfId="0" applyNumberFormat="1" applyFont="1" applyFill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>
      <alignment vertical="center"/>
    </xf>
    <xf numFmtId="0" fontId="0" fillId="3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15" fontId="0" fillId="6" borderId="17" xfId="0" applyNumberFormat="1" applyFill="1" applyBorder="1"/>
    <xf numFmtId="2" fontId="1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15" fontId="1" fillId="2" borderId="5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vertical="center"/>
    </xf>
    <xf numFmtId="2" fontId="0" fillId="0" borderId="2" xfId="0" applyNumberFormat="1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15" fontId="0" fillId="8" borderId="17" xfId="0" applyNumberFormat="1" applyFill="1" applyBorder="1"/>
    <xf numFmtId="15" fontId="0" fillId="9" borderId="28" xfId="0" applyNumberFormat="1" applyFill="1" applyBorder="1"/>
    <xf numFmtId="2" fontId="0" fillId="0" borderId="1" xfId="0" applyNumberFormat="1" applyBorder="1" applyAlignment="1" applyProtection="1">
      <alignment horizontal="center"/>
      <protection locked="0"/>
    </xf>
    <xf numFmtId="16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5" fontId="1" fillId="2" borderId="30" xfId="0" applyNumberFormat="1" applyFont="1" applyFill="1" applyBorder="1" applyAlignment="1">
      <alignment horizontal="center" vertical="center"/>
    </xf>
    <xf numFmtId="15" fontId="0" fillId="0" borderId="1" xfId="0" applyNumberFormat="1" applyBorder="1"/>
    <xf numFmtId="15" fontId="1" fillId="2" borderId="29" xfId="0" applyNumberFormat="1" applyFont="1" applyFill="1" applyBorder="1" applyAlignment="1">
      <alignment vertical="center"/>
    </xf>
    <xf numFmtId="0" fontId="1" fillId="2" borderId="37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0" fontId="1" fillId="2" borderId="33" xfId="0" applyFont="1" applyFill="1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2" fontId="1" fillId="2" borderId="30" xfId="0" applyNumberFormat="1" applyFont="1" applyFill="1" applyBorder="1" applyAlignment="1" applyProtection="1">
      <alignment horizontal="center" vertical="center"/>
      <protection locked="0"/>
    </xf>
    <xf numFmtId="19" fontId="1" fillId="2" borderId="33" xfId="0" applyNumberFormat="1" applyFont="1" applyFill="1" applyBorder="1" applyAlignment="1" applyProtection="1">
      <alignment horizontal="center" vertical="center"/>
      <protection locked="0"/>
    </xf>
    <xf numFmtId="19" fontId="1" fillId="2" borderId="34" xfId="0" applyNumberFormat="1" applyFont="1" applyFill="1" applyBorder="1" applyAlignment="1" applyProtection="1">
      <alignment horizontal="center" vertical="center"/>
      <protection locked="0"/>
    </xf>
    <xf numFmtId="2" fontId="1" fillId="2" borderId="40" xfId="0" applyNumberFormat="1" applyFont="1" applyFill="1" applyBorder="1" applyAlignment="1" applyProtection="1">
      <alignment horizontal="center" vertical="center"/>
      <protection locked="0"/>
    </xf>
    <xf numFmtId="2" fontId="1" fillId="2" borderId="35" xfId="0" applyNumberFormat="1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19" fontId="1" fillId="2" borderId="4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1" fillId="10" borderId="2" xfId="0" applyNumberFormat="1" applyFont="1" applyFill="1" applyBorder="1" applyAlignment="1">
      <alignment vertical="center"/>
    </xf>
    <xf numFmtId="164" fontId="1" fillId="10" borderId="9" xfId="0" applyNumberFormat="1" applyFont="1" applyFill="1" applyBorder="1" applyAlignment="1">
      <alignment vertical="center"/>
    </xf>
    <xf numFmtId="164" fontId="1" fillId="10" borderId="10" xfId="0" applyNumberFormat="1" applyFont="1" applyFill="1" applyBorder="1" applyAlignment="1">
      <alignment vertical="center"/>
    </xf>
    <xf numFmtId="2" fontId="1" fillId="10" borderId="10" xfId="0" applyNumberFormat="1" applyFont="1" applyFill="1" applyBorder="1" applyAlignment="1" applyProtection="1">
      <alignment horizontal="center" vertical="center"/>
      <protection locked="0"/>
    </xf>
    <xf numFmtId="164" fontId="1" fillId="10" borderId="11" xfId="0" applyNumberFormat="1" applyFont="1" applyFill="1" applyBorder="1" applyAlignment="1">
      <alignment vertical="center"/>
    </xf>
    <xf numFmtId="20" fontId="1" fillId="10" borderId="9" xfId="0" applyNumberFormat="1" applyFont="1" applyFill="1" applyBorder="1" applyAlignment="1" applyProtection="1">
      <alignment horizontal="center" vertical="center"/>
      <protection locked="0"/>
    </xf>
    <xf numFmtId="20" fontId="1" fillId="10" borderId="10" xfId="0" applyNumberFormat="1" applyFont="1" applyFill="1" applyBorder="1" applyAlignment="1" applyProtection="1">
      <alignment horizontal="center" vertical="center"/>
      <protection locked="0"/>
    </xf>
    <xf numFmtId="2" fontId="1" fillId="10" borderId="11" xfId="0" applyNumberFormat="1" applyFont="1" applyFill="1" applyBorder="1" applyAlignment="1" applyProtection="1">
      <alignment horizontal="center" vertical="center"/>
      <protection locked="0"/>
    </xf>
    <xf numFmtId="0" fontId="1" fillId="10" borderId="10" xfId="0" applyFont="1" applyFill="1" applyBorder="1" applyAlignment="1" applyProtection="1">
      <alignment horizontal="center" vertical="center"/>
      <protection locked="0"/>
    </xf>
    <xf numFmtId="0" fontId="1" fillId="10" borderId="36" xfId="0" applyFont="1" applyFill="1" applyBorder="1" applyAlignment="1" applyProtection="1">
      <alignment horizontal="center" vertical="center"/>
      <protection locked="0"/>
    </xf>
    <xf numFmtId="0" fontId="1" fillId="10" borderId="9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16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>
      <alignment vertical="center"/>
    </xf>
    <xf numFmtId="2" fontId="1" fillId="10" borderId="4" xfId="0" applyNumberFormat="1" applyFont="1" applyFill="1" applyBorder="1" applyAlignment="1" applyProtection="1">
      <alignment horizontal="center" vertical="center"/>
      <protection locked="0"/>
    </xf>
    <xf numFmtId="0" fontId="1" fillId="10" borderId="30" xfId="0" applyFont="1" applyFill="1" applyBorder="1" applyAlignment="1">
      <alignment vertical="center"/>
    </xf>
    <xf numFmtId="0" fontId="5" fillId="10" borderId="12" xfId="0" applyFont="1" applyFill="1" applyBorder="1" applyAlignment="1" applyProtection="1">
      <alignment horizontal="center" vertic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2" fontId="1" fillId="10" borderId="13" xfId="0" applyNumberFormat="1" applyFont="1" applyFill="1" applyBorder="1" applyAlignment="1" applyProtection="1">
      <alignment horizontal="center" vertical="center"/>
      <protection locked="0"/>
    </xf>
    <xf numFmtId="0" fontId="1" fillId="10" borderId="4" xfId="0" applyFont="1" applyFill="1" applyBorder="1" applyAlignment="1" applyProtection="1">
      <alignment horizontal="center" vertical="center"/>
      <protection locked="0"/>
    </xf>
    <xf numFmtId="0" fontId="1" fillId="10" borderId="37" xfId="0" applyFont="1" applyFill="1" applyBorder="1" applyAlignment="1" applyProtection="1">
      <alignment horizontal="center" vertical="center"/>
      <protection locked="0"/>
    </xf>
    <xf numFmtId="0" fontId="1" fillId="10" borderId="13" xfId="0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3" xfId="0" applyFont="1" applyFill="1" applyBorder="1" applyAlignment="1" applyProtection="1">
      <alignment horizontal="center" vertical="center"/>
      <protection locked="0"/>
    </xf>
    <xf numFmtId="0" fontId="1" fillId="10" borderId="30" xfId="0" applyFont="1" applyFill="1" applyBorder="1" applyAlignment="1" applyProtection="1">
      <alignment horizontal="center" vertical="center"/>
      <protection locked="0"/>
    </xf>
    <xf numFmtId="0" fontId="5" fillId="10" borderId="17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1" fillId="10" borderId="17" xfId="0" applyFont="1" applyFill="1" applyBorder="1" applyAlignment="1" applyProtection="1">
      <alignment horizontal="center" vertical="center"/>
      <protection locked="0"/>
    </xf>
    <xf numFmtId="20" fontId="1" fillId="10" borderId="12" xfId="0" applyNumberFormat="1" applyFont="1" applyFill="1" applyBorder="1" applyAlignment="1" applyProtection="1">
      <alignment horizontal="center" vertical="center"/>
      <protection locked="0"/>
    </xf>
    <xf numFmtId="20" fontId="1" fillId="10" borderId="3" xfId="0" applyNumberFormat="1" applyFont="1" applyFill="1" applyBorder="1" applyAlignment="1" applyProtection="1">
      <alignment horizontal="center" vertical="center"/>
      <protection locked="0"/>
    </xf>
    <xf numFmtId="20" fontId="6" fillId="10" borderId="12" xfId="0" applyNumberFormat="1" applyFont="1" applyFill="1" applyBorder="1" applyAlignment="1" applyProtection="1">
      <alignment horizontal="center" vertical="center"/>
      <protection locked="0"/>
    </xf>
    <xf numFmtId="20" fontId="6" fillId="10" borderId="3" xfId="0" applyNumberFormat="1" applyFont="1" applyFill="1" applyBorder="1" applyAlignment="1" applyProtection="1">
      <alignment horizontal="center" vertical="center"/>
      <protection locked="0"/>
    </xf>
    <xf numFmtId="20" fontId="3" fillId="10" borderId="3" xfId="0" applyNumberFormat="1" applyFont="1" applyFill="1" applyBorder="1" applyAlignment="1" applyProtection="1">
      <alignment horizontal="center" vertical="center"/>
      <protection locked="0"/>
    </xf>
    <xf numFmtId="19" fontId="1" fillId="10" borderId="17" xfId="0" applyNumberFormat="1" applyFont="1" applyFill="1" applyBorder="1" applyAlignment="1" applyProtection="1">
      <alignment horizontal="center" vertical="center"/>
      <protection locked="0"/>
    </xf>
    <xf numFmtId="15" fontId="1" fillId="10" borderId="2" xfId="0" applyNumberFormat="1" applyFont="1" applyFill="1" applyBorder="1" applyAlignment="1">
      <alignment vertical="center"/>
    </xf>
    <xf numFmtId="2" fontId="1" fillId="10" borderId="3" xfId="0" applyNumberFormat="1" applyFont="1" applyFill="1" applyBorder="1" applyAlignment="1" applyProtection="1">
      <alignment horizontal="center" vertical="center"/>
      <protection locked="0"/>
    </xf>
    <xf numFmtId="15" fontId="1" fillId="10" borderId="30" xfId="0" applyNumberFormat="1" applyFont="1" applyFill="1" applyBorder="1" applyAlignment="1">
      <alignment vertical="center"/>
    </xf>
    <xf numFmtId="19" fontId="1" fillId="10" borderId="22" xfId="0" applyNumberFormat="1" applyFont="1" applyFill="1" applyBorder="1" applyAlignment="1" applyProtection="1">
      <alignment horizontal="center" vertical="center"/>
      <protection locked="0"/>
    </xf>
    <xf numFmtId="19" fontId="1" fillId="10" borderId="23" xfId="0" applyNumberFormat="1" applyFont="1" applyFill="1" applyBorder="1" applyAlignment="1" applyProtection="1">
      <alignment horizontal="center" vertical="center"/>
      <protection locked="0"/>
    </xf>
    <xf numFmtId="2" fontId="1" fillId="10" borderId="25" xfId="0" applyNumberFormat="1" applyFont="1" applyFill="1" applyBorder="1" applyAlignment="1" applyProtection="1">
      <alignment horizontal="center" vertical="center"/>
      <protection locked="0"/>
    </xf>
    <xf numFmtId="0" fontId="1" fillId="10" borderId="22" xfId="0" applyFont="1" applyFill="1" applyBorder="1" applyAlignment="1" applyProtection="1">
      <alignment horizontal="center" vertical="center"/>
      <protection locked="0"/>
    </xf>
    <xf numFmtId="0" fontId="1" fillId="10" borderId="23" xfId="0" applyFont="1" applyFill="1" applyBorder="1" applyAlignment="1" applyProtection="1">
      <alignment horizontal="center" vertical="center"/>
      <protection locked="0"/>
    </xf>
    <xf numFmtId="0" fontId="1" fillId="10" borderId="38" xfId="0" applyFont="1" applyFill="1" applyBorder="1" applyAlignment="1" applyProtection="1">
      <alignment horizontal="center" vertical="center"/>
      <protection locked="0"/>
    </xf>
    <xf numFmtId="0" fontId="1" fillId="10" borderId="25" xfId="0" applyFont="1" applyFill="1" applyBorder="1" applyAlignment="1" applyProtection="1">
      <alignment horizontal="center" vertical="center"/>
      <protection locked="0"/>
    </xf>
    <xf numFmtId="19" fontId="1" fillId="10" borderId="27" xfId="0" applyNumberFormat="1" applyFont="1" applyFill="1" applyBorder="1" applyAlignment="1" applyProtection="1">
      <alignment horizontal="center" vertical="center"/>
      <protection locked="0"/>
    </xf>
    <xf numFmtId="15" fontId="1" fillId="10" borderId="5" xfId="0" applyNumberFormat="1" applyFont="1" applyFill="1" applyBorder="1" applyAlignment="1">
      <alignment horizontal="center" vertical="center"/>
    </xf>
    <xf numFmtId="15" fontId="1" fillId="10" borderId="30" xfId="0" applyNumberFormat="1" applyFont="1" applyFill="1" applyBorder="1" applyAlignment="1">
      <alignment horizontal="center" vertical="center"/>
    </xf>
    <xf numFmtId="19" fontId="1" fillId="10" borderId="12" xfId="0" applyNumberFormat="1" applyFont="1" applyFill="1" applyBorder="1" applyAlignment="1" applyProtection="1">
      <alignment horizontal="center" vertical="center"/>
      <protection locked="0"/>
    </xf>
    <xf numFmtId="19" fontId="1" fillId="10" borderId="3" xfId="0" applyNumberFormat="1" applyFont="1" applyFill="1" applyBorder="1" applyAlignment="1" applyProtection="1">
      <alignment horizontal="center" vertical="center"/>
      <protection locked="0"/>
    </xf>
    <xf numFmtId="2" fontId="1" fillId="10" borderId="30" xfId="0" applyNumberFormat="1" applyFont="1" applyFill="1" applyBorder="1" applyAlignment="1" applyProtection="1">
      <alignment horizontal="center" vertical="center"/>
      <protection locked="0"/>
    </xf>
    <xf numFmtId="0" fontId="1" fillId="10" borderId="39" xfId="0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10" borderId="26" xfId="0" applyFont="1" applyFill="1" applyBorder="1" applyAlignment="1" applyProtection="1">
      <alignment horizontal="center" vertical="center"/>
      <protection locked="0"/>
    </xf>
    <xf numFmtId="0" fontId="1" fillId="10" borderId="24" xfId="0" applyFont="1" applyFill="1" applyBorder="1" applyAlignment="1" applyProtection="1">
      <alignment horizontal="center" vertical="center"/>
      <protection locked="0"/>
    </xf>
    <xf numFmtId="20" fontId="1" fillId="2" borderId="33" xfId="0" applyNumberFormat="1" applyFont="1" applyFill="1" applyBorder="1" applyAlignment="1" applyProtection="1">
      <alignment horizontal="center" vertical="center"/>
      <protection locked="0"/>
    </xf>
    <xf numFmtId="20" fontId="1" fillId="0" borderId="1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20" fontId="5" fillId="2" borderId="12" xfId="0" applyNumberFormat="1" applyFont="1" applyFill="1" applyBorder="1" applyAlignment="1" applyProtection="1">
      <alignment horizontal="center" vertical="center"/>
      <protection locked="0"/>
    </xf>
    <xf numFmtId="20" fontId="1" fillId="2" borderId="12" xfId="0" applyNumberFormat="1" applyFont="1" applyFill="1" applyBorder="1" applyAlignment="1">
      <alignment horizontal="center" vertical="center"/>
    </xf>
    <xf numFmtId="20" fontId="5" fillId="7" borderId="12" xfId="0" applyNumberFormat="1" applyFont="1" applyFill="1" applyBorder="1" applyAlignment="1" applyProtection="1">
      <alignment horizontal="center" vertical="center"/>
      <protection locked="0"/>
    </xf>
    <xf numFmtId="20" fontId="5" fillId="7" borderId="3" xfId="0" applyNumberFormat="1" applyFont="1" applyFill="1" applyBorder="1" applyAlignment="1" applyProtection="1">
      <alignment horizontal="center" vertical="center"/>
      <protection locked="0"/>
    </xf>
    <xf numFmtId="20" fontId="5" fillId="2" borderId="3" xfId="0" applyNumberFormat="1" applyFont="1" applyFill="1" applyBorder="1" applyAlignment="1" applyProtection="1">
      <alignment horizontal="center" vertical="center"/>
      <protection locked="0"/>
    </xf>
    <xf numFmtId="20" fontId="1" fillId="2" borderId="3" xfId="0" applyNumberFormat="1" applyFont="1" applyFill="1" applyBorder="1" applyAlignment="1">
      <alignment horizontal="center" vertical="center"/>
    </xf>
    <xf numFmtId="20" fontId="1" fillId="10" borderId="43" xfId="0" applyNumberFormat="1" applyFont="1" applyFill="1" applyBorder="1" applyAlignment="1" applyProtection="1">
      <alignment horizontal="center" vertical="center"/>
      <protection locked="0"/>
    </xf>
    <xf numFmtId="20" fontId="1" fillId="2" borderId="44" xfId="0" applyNumberFormat="1" applyFont="1" applyFill="1" applyBorder="1" applyAlignment="1" applyProtection="1">
      <alignment horizontal="center" vertical="center"/>
      <protection locked="0"/>
    </xf>
    <xf numFmtId="20" fontId="5" fillId="2" borderId="44" xfId="0" applyNumberFormat="1" applyFont="1" applyFill="1" applyBorder="1" applyAlignment="1" applyProtection="1">
      <alignment horizontal="center" vertical="center"/>
      <protection locked="0"/>
    </xf>
    <xf numFmtId="0" fontId="5" fillId="10" borderId="44" xfId="0" applyFont="1" applyFill="1" applyBorder="1" applyAlignment="1" applyProtection="1">
      <alignment horizontal="center" vertical="center"/>
      <protection locked="0"/>
    </xf>
    <xf numFmtId="20" fontId="1" fillId="10" borderId="44" xfId="0" applyNumberFormat="1" applyFont="1" applyFill="1" applyBorder="1" applyAlignment="1" applyProtection="1">
      <alignment horizontal="center" vertical="center"/>
      <protection locked="0"/>
    </xf>
    <xf numFmtId="0" fontId="1" fillId="2" borderId="44" xfId="0" applyFont="1" applyFill="1" applyBorder="1" applyAlignment="1" applyProtection="1">
      <alignment horizontal="center" vertical="center"/>
      <protection locked="0"/>
    </xf>
    <xf numFmtId="0" fontId="1" fillId="10" borderId="44" xfId="0" applyFont="1" applyFill="1" applyBorder="1" applyAlignment="1" applyProtection="1">
      <alignment horizontal="center" vertical="center"/>
      <protection locked="0"/>
    </xf>
    <xf numFmtId="19" fontId="1" fillId="2" borderId="44" xfId="0" applyNumberFormat="1" applyFont="1" applyFill="1" applyBorder="1" applyAlignment="1" applyProtection="1">
      <alignment horizontal="center" vertical="center"/>
      <protection locked="0"/>
    </xf>
    <xf numFmtId="19" fontId="1" fillId="10" borderId="45" xfId="0" applyNumberFormat="1" applyFont="1" applyFill="1" applyBorder="1" applyAlignment="1" applyProtection="1">
      <alignment horizontal="center" vertical="center"/>
      <protection locked="0"/>
    </xf>
    <xf numFmtId="19" fontId="1" fillId="10" borderId="44" xfId="0" applyNumberFormat="1" applyFont="1" applyFill="1" applyBorder="1" applyAlignment="1" applyProtection="1">
      <alignment horizontal="center" vertical="center"/>
      <protection locked="0"/>
    </xf>
    <xf numFmtId="19" fontId="1" fillId="2" borderId="46" xfId="0" applyNumberFormat="1" applyFont="1" applyFill="1" applyBorder="1" applyAlignment="1" applyProtection="1">
      <alignment horizontal="center" vertical="center"/>
      <protection locked="0"/>
    </xf>
    <xf numFmtId="20" fontId="1" fillId="0" borderId="3" xfId="0" applyNumberFormat="1" applyFont="1" applyBorder="1" applyAlignment="1" applyProtection="1">
      <alignment horizontal="center" vertical="center"/>
      <protection locked="0"/>
    </xf>
    <xf numFmtId="20" fontId="1" fillId="3" borderId="12" xfId="0" applyNumberFormat="1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20" fontId="1" fillId="4" borderId="12" xfId="0" applyNumberFormat="1" applyFont="1" applyFill="1" applyBorder="1" applyAlignment="1" applyProtection="1">
      <alignment horizontal="center" vertical="center"/>
      <protection locked="0"/>
    </xf>
    <xf numFmtId="20" fontId="1" fillId="4" borderId="3" xfId="0" applyNumberFormat="1" applyFont="1" applyFill="1" applyBorder="1" applyAlignment="1" applyProtection="1">
      <alignment horizontal="center" vertical="center"/>
      <protection locked="0"/>
    </xf>
    <xf numFmtId="0" fontId="1" fillId="5" borderId="44" xfId="0" applyFont="1" applyFill="1" applyBorder="1" applyAlignment="1" applyProtection="1">
      <alignment horizontal="center" vertical="center"/>
      <protection locked="0"/>
    </xf>
    <xf numFmtId="0" fontId="1" fillId="5" borderId="3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20" fontId="1" fillId="2" borderId="49" xfId="0" applyNumberFormat="1" applyFont="1" applyFill="1" applyBorder="1" applyAlignment="1" applyProtection="1">
      <alignment horizontal="center" vertical="center"/>
      <protection locked="0"/>
    </xf>
    <xf numFmtId="0" fontId="2" fillId="10" borderId="44" xfId="0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10" borderId="50" xfId="0" applyFont="1" applyFill="1" applyBorder="1" applyAlignment="1" applyProtection="1">
      <alignment horizontal="center" vertical="center"/>
      <protection locked="0"/>
    </xf>
    <xf numFmtId="20" fontId="3" fillId="10" borderId="44" xfId="0" applyNumberFormat="1" applyFont="1" applyFill="1" applyBorder="1" applyAlignment="1" applyProtection="1">
      <alignment horizontal="center" vertical="center"/>
      <protection locked="0"/>
    </xf>
    <xf numFmtId="0" fontId="1" fillId="10" borderId="34" xfId="0" applyFont="1" applyFill="1" applyBorder="1" applyAlignment="1" applyProtection="1">
      <alignment horizontal="center" vertical="center"/>
      <protection locked="0"/>
    </xf>
    <xf numFmtId="164" fontId="1" fillId="10" borderId="36" xfId="0" applyNumberFormat="1" applyFont="1" applyFill="1" applyBorder="1" applyAlignment="1">
      <alignment vertical="center"/>
    </xf>
    <xf numFmtId="164" fontId="1" fillId="0" borderId="39" xfId="0" applyNumberFormat="1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15" fontId="1" fillId="10" borderId="39" xfId="0" applyNumberFormat="1" applyFont="1" applyFill="1" applyBorder="1" applyAlignment="1">
      <alignment vertical="center"/>
    </xf>
    <xf numFmtId="15" fontId="1" fillId="10" borderId="39" xfId="0" applyNumberFormat="1" applyFont="1" applyFill="1" applyBorder="1" applyAlignment="1">
      <alignment horizontal="center" vertical="center"/>
    </xf>
    <xf numFmtId="15" fontId="1" fillId="2" borderId="39" xfId="0" applyNumberFormat="1" applyFont="1" applyFill="1" applyBorder="1" applyAlignment="1">
      <alignment horizontal="center" vertical="center"/>
    </xf>
    <xf numFmtId="15" fontId="1" fillId="2" borderId="51" xfId="0" applyNumberFormat="1" applyFont="1" applyFill="1" applyBorder="1" applyAlignment="1">
      <alignment vertical="center"/>
    </xf>
    <xf numFmtId="15" fontId="1" fillId="10" borderId="3" xfId="0" applyNumberFormat="1" applyFont="1" applyFill="1" applyBorder="1" applyAlignment="1">
      <alignment horizontal="center" vertical="center"/>
    </xf>
    <xf numFmtId="15" fontId="1" fillId="2" borderId="3" xfId="0" applyNumberFormat="1" applyFont="1" applyFill="1" applyBorder="1" applyAlignment="1">
      <alignment horizontal="center" vertical="center"/>
    </xf>
    <xf numFmtId="15" fontId="1" fillId="10" borderId="12" xfId="0" applyNumberFormat="1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/>
    </xf>
    <xf numFmtId="2" fontId="1" fillId="2" borderId="53" xfId="0" applyNumberFormat="1" applyFont="1" applyFill="1" applyBorder="1" applyAlignment="1" applyProtection="1">
      <alignment horizontal="center" vertical="center"/>
      <protection locked="0"/>
    </xf>
    <xf numFmtId="2" fontId="1" fillId="2" borderId="3" xfId="0" applyNumberFormat="1" applyFont="1" applyFill="1" applyBorder="1" applyAlignment="1" applyProtection="1">
      <alignment horizontal="center" vertical="center"/>
      <protection locked="0"/>
    </xf>
    <xf numFmtId="2" fontId="1" fillId="2" borderId="23" xfId="0" applyNumberFormat="1" applyFont="1" applyFill="1" applyBorder="1" applyAlignment="1" applyProtection="1">
      <alignment horizontal="center" vertical="center"/>
      <protection locked="0"/>
    </xf>
    <xf numFmtId="164" fontId="1" fillId="10" borderId="14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5" fontId="1" fillId="2" borderId="3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10" borderId="4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5" fontId="1" fillId="2" borderId="34" xfId="0" applyNumberFormat="1" applyFont="1" applyFill="1" applyBorder="1" applyAlignment="1">
      <alignment horizontal="center" vertical="center"/>
    </xf>
    <xf numFmtId="164" fontId="1" fillId="10" borderId="13" xfId="0" applyNumberFormat="1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1" fillId="10" borderId="43" xfId="0" applyFont="1" applyFill="1" applyBorder="1" applyAlignment="1" applyProtection="1">
      <alignment horizontal="center" vertical="center"/>
      <protection locked="0"/>
    </xf>
    <xf numFmtId="0" fontId="1" fillId="4" borderId="44" xfId="0" applyFont="1" applyFill="1" applyBorder="1" applyAlignment="1" applyProtection="1">
      <alignment horizontal="center" vertical="center"/>
      <protection locked="0"/>
    </xf>
    <xf numFmtId="0" fontId="1" fillId="2" borderId="49" xfId="0" applyFont="1" applyFill="1" applyBorder="1" applyAlignment="1" applyProtection="1">
      <alignment horizontal="center" vertical="center"/>
      <protection locked="0"/>
    </xf>
    <xf numFmtId="0" fontId="1" fillId="10" borderId="49" xfId="0" applyFont="1" applyFill="1" applyBorder="1" applyAlignment="1" applyProtection="1">
      <alignment horizontal="center" vertical="center"/>
      <protection locked="0"/>
    </xf>
    <xf numFmtId="0" fontId="1" fillId="10" borderId="54" xfId="0" applyFont="1" applyFill="1" applyBorder="1" applyAlignment="1" applyProtection="1">
      <alignment horizontal="center" vertical="center"/>
      <protection locked="0"/>
    </xf>
    <xf numFmtId="0" fontId="1" fillId="2" borderId="46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center" vertical="center"/>
      <protection locked="0"/>
    </xf>
    <xf numFmtId="0" fontId="1" fillId="5" borderId="12" xfId="0" applyFont="1" applyFill="1" applyBorder="1" applyAlignment="1" applyProtection="1">
      <alignment horizontal="center" vertical="center"/>
      <protection locked="0"/>
    </xf>
    <xf numFmtId="20" fontId="1" fillId="4" borderId="12" xfId="0" applyNumberFormat="1" applyFont="1" applyFill="1" applyBorder="1" applyAlignment="1">
      <alignment horizontal="center" vertical="center"/>
    </xf>
    <xf numFmtId="0" fontId="5" fillId="2" borderId="44" xfId="0" applyFont="1" applyFill="1" applyBorder="1" applyAlignment="1" applyProtection="1">
      <alignment horizontal="center" vertical="center"/>
      <protection locked="0"/>
    </xf>
    <xf numFmtId="0" fontId="5" fillId="10" borderId="45" xfId="0" applyFont="1" applyFill="1" applyBorder="1" applyAlignment="1" applyProtection="1">
      <alignment horizontal="center" vertical="center"/>
      <protection locked="0"/>
    </xf>
    <xf numFmtId="0" fontId="5" fillId="10" borderId="23" xfId="0" applyFont="1" applyFill="1" applyBorder="1" applyAlignment="1" applyProtection="1">
      <alignment horizontal="center" vertical="center"/>
      <protection locked="0"/>
    </xf>
    <xf numFmtId="2" fontId="5" fillId="2" borderId="52" xfId="0" applyNumberFormat="1" applyFont="1" applyFill="1" applyBorder="1" applyAlignment="1" applyProtection="1">
      <alignment horizontal="center" vertical="center"/>
      <protection locked="0"/>
    </xf>
    <xf numFmtId="2" fontId="5" fillId="2" borderId="40" xfId="0" applyNumberFormat="1" applyFont="1" applyFill="1" applyBorder="1" applyAlignment="1" applyProtection="1">
      <alignment horizontal="center" vertical="center"/>
      <protection locked="0"/>
    </xf>
    <xf numFmtId="20" fontId="1" fillId="4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1" fillId="0" borderId="4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48" xfId="0" applyFont="1" applyBorder="1" applyAlignment="1" applyProtection="1">
      <alignment horizontal="center" vertical="center"/>
      <protection locked="0"/>
    </xf>
    <xf numFmtId="15" fontId="0" fillId="2" borderId="20" xfId="0" applyNumberFormat="1" applyFill="1" applyBorder="1" applyAlignment="1">
      <alignment horizontal="center"/>
    </xf>
    <xf numFmtId="15" fontId="0" fillId="2" borderId="21" xfId="0" applyNumberFormat="1" applyFill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1" fillId="6" borderId="12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4A36-8B75-4DF0-A79A-9F1468A7BB9D}">
  <dimension ref="A1:CU58"/>
  <sheetViews>
    <sheetView tabSelected="1" zoomScaleNormal="100" workbookViewId="0">
      <pane xSplit="1" topLeftCell="BM1" activePane="topRight" state="frozen"/>
      <selection pane="topRight" activeCell="CD24" sqref="CD24:CE24"/>
    </sheetView>
  </sheetViews>
  <sheetFormatPr defaultColWidth="8.88671875" defaultRowHeight="14.4" x14ac:dyDescent="0.3"/>
  <cols>
    <col min="1" max="9" width="10" customWidth="1"/>
    <col min="10" max="11" width="10" style="188" customWidth="1"/>
    <col min="12" max="12" width="10" customWidth="1"/>
    <col min="13" max="13" width="10" style="188" customWidth="1"/>
    <col min="14" max="15" width="8.88671875" style="13"/>
    <col min="16" max="17" width="8.88671875" style="14"/>
    <col min="18" max="19" width="8.88671875" style="13"/>
    <col min="20" max="25" width="8.88671875" style="14"/>
    <col min="26" max="29" width="8.88671875" style="13"/>
    <col min="30" max="33" width="10.44140625" style="13" customWidth="1"/>
    <col min="34" max="37" width="9.109375" style="13" customWidth="1"/>
    <col min="38" max="41" width="8.88671875" style="13"/>
    <col min="42" max="49" width="9.33203125" style="13" customWidth="1"/>
    <col min="50" max="93" width="8.88671875" style="13"/>
    <col min="94" max="95" width="10" style="13" bestFit="1" customWidth="1"/>
    <col min="96" max="99" width="8.88671875" style="13"/>
    <col min="100" max="16384" width="8.88671875" style="6"/>
  </cols>
  <sheetData>
    <row r="1" spans="1:99" ht="15" thickBot="1" x14ac:dyDescent="0.35">
      <c r="A1" s="1" t="s">
        <v>0</v>
      </c>
      <c r="B1" s="216" t="s">
        <v>29</v>
      </c>
      <c r="C1" s="217"/>
      <c r="D1" s="217"/>
      <c r="E1" s="218"/>
      <c r="F1" s="216" t="s">
        <v>30</v>
      </c>
      <c r="G1" s="217"/>
      <c r="H1" s="217"/>
      <c r="I1" s="218"/>
      <c r="J1" s="216" t="s">
        <v>77</v>
      </c>
      <c r="K1" s="217"/>
      <c r="L1" s="217"/>
      <c r="M1" s="218"/>
      <c r="N1" s="216" t="s">
        <v>12</v>
      </c>
      <c r="O1" s="217"/>
      <c r="P1" s="217"/>
      <c r="Q1" s="218"/>
      <c r="R1" s="216" t="s">
        <v>14</v>
      </c>
      <c r="S1" s="217"/>
      <c r="T1" s="217"/>
      <c r="U1" s="218"/>
      <c r="V1" s="216" t="s">
        <v>78</v>
      </c>
      <c r="W1" s="217"/>
      <c r="X1" s="217"/>
      <c r="Y1" s="218"/>
      <c r="Z1" s="216" t="s">
        <v>23</v>
      </c>
      <c r="AA1" s="217"/>
      <c r="AB1" s="217"/>
      <c r="AC1" s="218"/>
      <c r="AD1" s="216" t="s">
        <v>1</v>
      </c>
      <c r="AE1" s="217"/>
      <c r="AF1" s="217"/>
      <c r="AG1" s="218"/>
      <c r="AH1" s="216" t="s">
        <v>8</v>
      </c>
      <c r="AI1" s="217"/>
      <c r="AJ1" s="217"/>
      <c r="AK1" s="218"/>
      <c r="AL1" s="216" t="s">
        <v>15</v>
      </c>
      <c r="AM1" s="217"/>
      <c r="AN1" s="217"/>
      <c r="AO1" s="218"/>
      <c r="AP1" s="216" t="s">
        <v>3</v>
      </c>
      <c r="AQ1" s="217"/>
      <c r="AR1" s="217"/>
      <c r="AS1" s="218"/>
      <c r="AT1" s="227" t="s">
        <v>68</v>
      </c>
      <c r="AU1" s="228"/>
      <c r="AV1" s="228"/>
      <c r="AW1" s="229"/>
      <c r="AX1" s="216" t="s">
        <v>6</v>
      </c>
      <c r="AY1" s="217"/>
      <c r="AZ1" s="217"/>
      <c r="BA1" s="218"/>
      <c r="BB1" s="227" t="s">
        <v>76</v>
      </c>
      <c r="BC1" s="228"/>
      <c r="BD1" s="228"/>
      <c r="BE1" s="229"/>
      <c r="BF1" s="216" t="s">
        <v>7</v>
      </c>
      <c r="BG1" s="217"/>
      <c r="BH1" s="217"/>
      <c r="BI1" s="218"/>
      <c r="BJ1" s="216" t="s">
        <v>4</v>
      </c>
      <c r="BK1" s="217"/>
      <c r="BL1" s="217"/>
      <c r="BM1" s="218"/>
      <c r="BN1" s="216" t="s">
        <v>5</v>
      </c>
      <c r="BO1" s="217"/>
      <c r="BP1" s="217"/>
      <c r="BQ1" s="218"/>
      <c r="BR1" s="216" t="s">
        <v>11</v>
      </c>
      <c r="BS1" s="217"/>
      <c r="BT1" s="217"/>
      <c r="BU1" s="218"/>
      <c r="BV1" s="227" t="s">
        <v>75</v>
      </c>
      <c r="BW1" s="228"/>
      <c r="BX1" s="228"/>
      <c r="BY1" s="229"/>
      <c r="BZ1" s="216" t="s">
        <v>2</v>
      </c>
      <c r="CA1" s="217"/>
      <c r="CB1" s="217"/>
      <c r="CC1" s="218"/>
      <c r="CD1" s="216" t="s">
        <v>31</v>
      </c>
      <c r="CE1" s="217"/>
      <c r="CF1" s="217"/>
      <c r="CG1" s="218"/>
      <c r="CH1" s="216" t="s">
        <v>13</v>
      </c>
      <c r="CI1" s="217"/>
      <c r="CJ1" s="217"/>
      <c r="CK1" s="218"/>
      <c r="CL1" s="216" t="s">
        <v>16</v>
      </c>
      <c r="CM1" s="217"/>
      <c r="CN1" s="217"/>
      <c r="CO1" s="218"/>
      <c r="CP1" s="216" t="s">
        <v>24</v>
      </c>
      <c r="CQ1" s="217"/>
      <c r="CR1" s="217"/>
      <c r="CS1" s="218"/>
      <c r="CT1" s="5" t="s">
        <v>9</v>
      </c>
      <c r="CU1" s="5" t="s">
        <v>10</v>
      </c>
    </row>
    <row r="2" spans="1:99" ht="15" thickBot="1" x14ac:dyDescent="0.35">
      <c r="A2" s="67" t="s">
        <v>32</v>
      </c>
      <c r="B2" s="68"/>
      <c r="C2" s="69"/>
      <c r="D2" s="70" t="str">
        <f>TEXT(C2-B2,"h""h ""mm""m""")</f>
        <v>0h 00m</v>
      </c>
      <c r="E2" s="71"/>
      <c r="F2" s="68"/>
      <c r="G2" s="69"/>
      <c r="H2" s="70" t="str">
        <f>TEXT(G2-F2,"h""h ""mm""m""")</f>
        <v>0h 00m</v>
      </c>
      <c r="I2" s="168"/>
      <c r="J2" s="184"/>
      <c r="K2" s="189"/>
      <c r="L2" s="81" t="str">
        <f t="shared" ref="L2:L31" si="0">TEXT(K2-J2,"h""h ""mm""m""")</f>
        <v>0h 00m</v>
      </c>
      <c r="M2" s="192"/>
      <c r="N2" s="142"/>
      <c r="O2" s="73"/>
      <c r="P2" s="70" t="str">
        <f>TEXT(O2-N2,"h""h ""mm""m""")</f>
        <v>0h 00m</v>
      </c>
      <c r="Q2" s="74"/>
      <c r="R2" s="77"/>
      <c r="S2" s="75"/>
      <c r="T2" s="75" t="str">
        <f>TEXT(S2-R2,"h""h ""mm""m""")</f>
        <v>0h 00m</v>
      </c>
      <c r="U2" s="76"/>
      <c r="V2" s="126"/>
      <c r="W2" s="127"/>
      <c r="X2" s="127" t="str">
        <f>TEXT(W2-V2,"h""h ""mm""m""")</f>
        <v>0h 00m</v>
      </c>
      <c r="Y2" s="110"/>
      <c r="Z2" s="198"/>
      <c r="AA2" s="75"/>
      <c r="AB2" s="75" t="str">
        <f>TEXT(AA2-Z2,"h""h ""mm""m""")</f>
        <v>0h 00m</v>
      </c>
      <c r="AC2" s="78"/>
      <c r="AD2" s="72"/>
      <c r="AE2" s="73"/>
      <c r="AF2" s="75" t="str">
        <f>TEXT(AE2-AD2,"h""h ""mm""m""")</f>
        <v>0h 00m</v>
      </c>
      <c r="AG2" s="78"/>
      <c r="AH2" s="72"/>
      <c r="AI2" s="73"/>
      <c r="AJ2" s="75" t="str">
        <f>TEXT(AI2-AH2,"h""h ""mm""m""")</f>
        <v>0h 00m</v>
      </c>
      <c r="AK2" s="78"/>
      <c r="AL2" s="72"/>
      <c r="AM2" s="73"/>
      <c r="AN2" s="75" t="str">
        <f>TEXT(AM2-AL2,"h""h ""mm""m""")</f>
        <v>0h 00m</v>
      </c>
      <c r="AO2" s="78"/>
      <c r="AP2" s="72"/>
      <c r="AQ2" s="73"/>
      <c r="AR2" s="75" t="str">
        <f>TEXT(AQ2-AP2,"h""h ""mm""m""")</f>
        <v>0h 00m</v>
      </c>
      <c r="AS2" s="76"/>
      <c r="AT2" s="77"/>
      <c r="AU2" s="75"/>
      <c r="AV2" s="75" t="str">
        <f t="shared" ref="AV2:AV30" si="1">TEXT(AU2-AT2,"h""h ""mm""m""")</f>
        <v>0h 00m</v>
      </c>
      <c r="AW2" s="78"/>
      <c r="AX2" s="142"/>
      <c r="AY2" s="73"/>
      <c r="AZ2" s="75" t="str">
        <f>TEXT(AY2-AX2,"h""h ""mm""m""")</f>
        <v>0h 00m</v>
      </c>
      <c r="BA2" s="76"/>
      <c r="BB2" s="77"/>
      <c r="BC2" s="75"/>
      <c r="BD2" s="167" t="str">
        <f t="shared" ref="BD2:BD31" si="2">TEXT(BC2-BB2,"h""h ""mm""m""")</f>
        <v>0h 00m</v>
      </c>
      <c r="BE2" s="78"/>
      <c r="BF2" s="142"/>
      <c r="BG2" s="73"/>
      <c r="BH2" s="75" t="str">
        <f t="shared" ref="BH2:BH5" si="3">TEXT(BG2-BF2,"h""h ""mm""m""")</f>
        <v>0h 00m</v>
      </c>
      <c r="BI2" s="78"/>
      <c r="BJ2" s="72"/>
      <c r="BK2" s="73"/>
      <c r="BL2" s="75" t="str">
        <f t="shared" ref="BL2:BL5" si="4">TEXT(BK2-BJ2,"h""h ""mm""m""")</f>
        <v>0h 00m</v>
      </c>
      <c r="BM2" s="78"/>
      <c r="BN2" s="72"/>
      <c r="BO2" s="73"/>
      <c r="BP2" s="75" t="str">
        <f t="shared" ref="BP2:BP5" si="5">TEXT(BO2-BN2,"h""h ""mm""m""")</f>
        <v>0h 00m</v>
      </c>
      <c r="BQ2" s="78"/>
      <c r="BR2" s="72"/>
      <c r="BS2" s="73"/>
      <c r="BT2" s="75" t="str">
        <f t="shared" ref="BT2:BT5" si="6">TEXT(BS2-BR2,"h""h ""mm""m""")</f>
        <v>0h 00m</v>
      </c>
      <c r="BU2" s="76"/>
      <c r="BV2" s="77"/>
      <c r="BW2" s="75"/>
      <c r="BX2" s="165" t="str">
        <f t="shared" ref="BX2:BX31" si="7">TEXT(BW2-BV2,"h""h ""mm""m""")</f>
        <v>0h 00m</v>
      </c>
      <c r="BY2" s="78"/>
      <c r="BZ2" s="142"/>
      <c r="CA2" s="73"/>
      <c r="CB2" s="75" t="str">
        <f t="shared" ref="CB2:CB5" si="8">TEXT(CA2-BZ2,"h""h ""mm""m""")</f>
        <v>0h 00m</v>
      </c>
      <c r="CC2" s="78"/>
      <c r="CD2" s="77"/>
      <c r="CE2" s="75"/>
      <c r="CF2" s="75" t="str">
        <f t="shared" ref="CF2:CF32" si="9">TEXT(CE2-CD2,"h""h ""mm""m""")</f>
        <v>0h 00m</v>
      </c>
      <c r="CG2" s="78"/>
      <c r="CH2" s="72"/>
      <c r="CI2" s="73"/>
      <c r="CJ2" s="75" t="str">
        <f t="shared" ref="CJ2:CJ5" si="10">TEXT(CI2-CH2,"h""h ""mm""m""")</f>
        <v>0h 00m</v>
      </c>
      <c r="CK2" s="78"/>
      <c r="CL2" s="77"/>
      <c r="CM2" s="75"/>
      <c r="CN2" s="75" t="str">
        <f t="shared" ref="CN2:CN5" si="11">TEXT(CM2-CL2,"h""h ""mm""m""")</f>
        <v>0h 00m</v>
      </c>
      <c r="CO2" s="78"/>
      <c r="CP2" s="72"/>
      <c r="CQ2" s="73"/>
      <c r="CR2" s="75" t="str">
        <f t="shared" ref="CR2:CR5" si="12">TEXT(CQ2-CP2,"h""h ""mm""m""")</f>
        <v>0h 00m</v>
      </c>
      <c r="CS2" s="78"/>
      <c r="CT2" s="79"/>
      <c r="CU2" s="79"/>
    </row>
    <row r="3" spans="1:99" ht="15" thickBot="1" x14ac:dyDescent="0.35">
      <c r="A3" s="29" t="s">
        <v>33</v>
      </c>
      <c r="B3" s="129">
        <v>0.31319444444444444</v>
      </c>
      <c r="C3" s="130">
        <v>0.6875</v>
      </c>
      <c r="D3" s="8" t="str">
        <f t="shared" ref="D3:D23" si="13">TEXT(C3-B3,"h""h ""mm""m""")</f>
        <v>8h 59m</v>
      </c>
      <c r="E3" s="45"/>
      <c r="F3" s="129">
        <v>0.30486111111111114</v>
      </c>
      <c r="G3" s="130">
        <v>0.68055555555555558</v>
      </c>
      <c r="H3" s="8" t="str">
        <f t="shared" ref="H3:H32" si="14">TEXT(G3-F3,"h""h ""mm""m""")</f>
        <v>9h 01m</v>
      </c>
      <c r="I3" s="169"/>
      <c r="J3" s="185"/>
      <c r="K3" s="190"/>
      <c r="L3" s="182" t="str">
        <f t="shared" si="0"/>
        <v>0h 00m</v>
      </c>
      <c r="M3" s="193"/>
      <c r="N3" s="143">
        <v>0.27083333333333331</v>
      </c>
      <c r="O3" s="10">
        <v>0.70416666666666672</v>
      </c>
      <c r="P3" s="8" t="str">
        <f t="shared" ref="P3:P32" si="15">TEXT(O3-N3,"h""h ""mm""m""")</f>
        <v>10h 24m</v>
      </c>
      <c r="Q3" s="17"/>
      <c r="R3" s="131" t="s">
        <v>63</v>
      </c>
      <c r="S3" s="132" t="s">
        <v>64</v>
      </c>
      <c r="T3" s="9" t="str">
        <f>$T$2</f>
        <v>0h 00m</v>
      </c>
      <c r="U3" s="51" t="s">
        <v>65</v>
      </c>
      <c r="V3" s="204"/>
      <c r="W3" s="205"/>
      <c r="X3" s="205" t="str">
        <f t="shared" ref="X3:X12" si="16">TEXT(W3-V3,"h""h ""mm""m""")</f>
        <v>0h 00m</v>
      </c>
      <c r="Y3" s="206"/>
      <c r="Z3" s="161">
        <v>0.29652777777777778</v>
      </c>
      <c r="AA3" s="7">
        <v>0.68402777777777779</v>
      </c>
      <c r="AB3" s="9" t="str">
        <f t="shared" ref="AB3:AB32" si="17">TEXT(AA3-Z3,"h""h ""mm""m""")</f>
        <v>9h 18m</v>
      </c>
      <c r="AC3" s="18"/>
      <c r="AD3" s="16">
        <v>0.29444444444444445</v>
      </c>
      <c r="AE3" s="10">
        <v>0.68194444444444446</v>
      </c>
      <c r="AF3" s="9" t="str">
        <f t="shared" ref="AF3:AF32" si="18">TEXT(AE3-AD3,"h""h ""mm""m""")</f>
        <v>9h 18m</v>
      </c>
      <c r="AG3" s="18"/>
      <c r="AH3" s="21">
        <v>0.3034722222222222</v>
      </c>
      <c r="AI3" s="11">
        <v>0.6791666666666667</v>
      </c>
      <c r="AJ3" s="9" t="str">
        <f t="shared" ref="AJ3:AJ32" si="19">TEXT(AI3-AH3,"h""h ""mm""m""")</f>
        <v>9h 01m</v>
      </c>
      <c r="AK3" s="18"/>
      <c r="AL3" s="16">
        <v>0.30416666666666664</v>
      </c>
      <c r="AM3" s="10">
        <v>0.68611111111111112</v>
      </c>
      <c r="AN3" s="9" t="str">
        <f t="shared" ref="AN3:AN32" si="20">TEXT(AM3-AL3,"h""h ""mm""m""")</f>
        <v>9h 10m</v>
      </c>
      <c r="AO3" s="18"/>
      <c r="AP3" s="16">
        <v>0.29930555555555555</v>
      </c>
      <c r="AQ3" s="10">
        <v>0.67708333333333337</v>
      </c>
      <c r="AR3" s="9" t="str">
        <f t="shared" ref="AR3:AR32" si="21">TEXT(AQ3-AP3,"h""h ""mm""m""")</f>
        <v>9h 04m</v>
      </c>
      <c r="AS3" s="51"/>
      <c r="AT3" s="20"/>
      <c r="AU3" s="12"/>
      <c r="AV3" s="12" t="str">
        <f t="shared" si="1"/>
        <v>0h 00m</v>
      </c>
      <c r="AW3" s="53"/>
      <c r="AX3" s="143">
        <v>0.29166666666666669</v>
      </c>
      <c r="AY3" s="10">
        <v>0.67986111111111114</v>
      </c>
      <c r="AZ3" s="9" t="str">
        <f t="shared" ref="AZ3:AZ32" si="22">TEXT(AY3-AX3,"h""h ""mm""m""")</f>
        <v>9h 19m</v>
      </c>
      <c r="BA3" s="51"/>
      <c r="BB3" s="20"/>
      <c r="BC3" s="12"/>
      <c r="BD3" s="55" t="str">
        <f t="shared" si="2"/>
        <v>0h 00m</v>
      </c>
      <c r="BE3" s="53"/>
      <c r="BF3" s="143">
        <v>0.2986111111111111</v>
      </c>
      <c r="BG3" s="10">
        <v>0.67847222222222225</v>
      </c>
      <c r="BH3" s="9" t="str">
        <f t="shared" si="3"/>
        <v>9h 07m</v>
      </c>
      <c r="BI3" s="18"/>
      <c r="BJ3" s="19">
        <v>0.30486111111111114</v>
      </c>
      <c r="BK3" s="10">
        <v>0.67986111111111114</v>
      </c>
      <c r="BL3" s="9" t="str">
        <f t="shared" si="4"/>
        <v>9h 00m</v>
      </c>
      <c r="BM3" s="18"/>
      <c r="BN3" s="19">
        <v>0.2986111111111111</v>
      </c>
      <c r="BO3" s="10">
        <v>0.68125000000000002</v>
      </c>
      <c r="BP3" s="9" t="str">
        <f t="shared" si="5"/>
        <v>9h 11m</v>
      </c>
      <c r="BQ3" s="18"/>
      <c r="BR3" s="16">
        <v>0.30208333333333331</v>
      </c>
      <c r="BS3" s="10">
        <v>0.67847222222222225</v>
      </c>
      <c r="BT3" s="9" t="str">
        <f t="shared" si="6"/>
        <v>9h 02m</v>
      </c>
      <c r="BU3" s="51"/>
      <c r="BV3" s="20"/>
      <c r="BW3" s="12"/>
      <c r="BX3" s="36" t="str">
        <f t="shared" si="7"/>
        <v>0h 00m</v>
      </c>
      <c r="BY3" s="53"/>
      <c r="BZ3" s="143">
        <v>0.29930555555555555</v>
      </c>
      <c r="CA3" s="10">
        <v>0.67777777777777781</v>
      </c>
      <c r="CB3" s="9" t="str">
        <f t="shared" si="8"/>
        <v>9h 05m</v>
      </c>
      <c r="CC3" s="18"/>
      <c r="CD3" s="16">
        <v>0.27083333333333331</v>
      </c>
      <c r="CE3" s="10">
        <v>0.67708333333333337</v>
      </c>
      <c r="CF3" s="9" t="str">
        <f t="shared" si="9"/>
        <v>9h 45m</v>
      </c>
      <c r="CG3" s="53"/>
      <c r="CH3" s="16">
        <v>0.29236111111111113</v>
      </c>
      <c r="CI3" s="10">
        <v>0.67708333333333337</v>
      </c>
      <c r="CJ3" s="9" t="str">
        <f t="shared" si="10"/>
        <v>9h 14m</v>
      </c>
      <c r="CK3" s="18"/>
      <c r="CL3" s="16"/>
      <c r="CM3" s="10"/>
      <c r="CN3" s="9" t="str">
        <f t="shared" si="11"/>
        <v>0h 00m</v>
      </c>
      <c r="CO3" s="18"/>
      <c r="CP3" s="16">
        <v>0.29305555555555557</v>
      </c>
      <c r="CQ3" s="10">
        <v>0.67708333333333337</v>
      </c>
      <c r="CR3" s="9" t="str">
        <f t="shared" si="12"/>
        <v>9h 13m</v>
      </c>
      <c r="CS3" s="18"/>
      <c r="CT3" s="22"/>
      <c r="CU3" s="22"/>
    </row>
    <row r="4" spans="1:99" ht="15" thickBot="1" x14ac:dyDescent="0.35">
      <c r="A4" s="29" t="s">
        <v>34</v>
      </c>
      <c r="B4" s="129">
        <v>0.29583333333333334</v>
      </c>
      <c r="C4" s="130">
        <v>0.68194444444444446</v>
      </c>
      <c r="D4" s="8" t="str">
        <f t="shared" si="13"/>
        <v>9h 16m</v>
      </c>
      <c r="E4" s="45"/>
      <c r="F4" s="129">
        <v>0.30208333333333331</v>
      </c>
      <c r="G4" s="130">
        <v>0.6791666666666667</v>
      </c>
      <c r="H4" s="8" t="str">
        <f t="shared" si="14"/>
        <v>9h 03m</v>
      </c>
      <c r="I4" s="169"/>
      <c r="J4" s="185"/>
      <c r="K4" s="190"/>
      <c r="L4" s="182" t="str">
        <f t="shared" si="0"/>
        <v>0h 00m</v>
      </c>
      <c r="M4" s="193"/>
      <c r="N4" s="143">
        <v>0.27152777777777776</v>
      </c>
      <c r="O4" s="10">
        <v>0.68541666666666667</v>
      </c>
      <c r="P4" s="8" t="str">
        <f t="shared" si="15"/>
        <v>9h 56m</v>
      </c>
      <c r="Q4" s="17"/>
      <c r="R4" s="16">
        <v>0.26874999999999999</v>
      </c>
      <c r="S4" s="10">
        <v>0.68125000000000002</v>
      </c>
      <c r="T4" s="9" t="str">
        <f t="shared" ref="T4:T32" si="23">TEXT(S4-R4,"h""h ""mm""m""")</f>
        <v>9h 54m</v>
      </c>
      <c r="U4" s="51"/>
      <c r="V4" s="20"/>
      <c r="W4" s="12"/>
      <c r="X4" s="9" t="str">
        <f t="shared" si="16"/>
        <v>0h 00m</v>
      </c>
      <c r="Y4" s="53"/>
      <c r="Z4" s="161">
        <v>0.29722222222222222</v>
      </c>
      <c r="AA4" s="7">
        <v>0.68055555555555558</v>
      </c>
      <c r="AB4" s="9" t="str">
        <f t="shared" si="17"/>
        <v>9h 12m</v>
      </c>
      <c r="AC4" s="18"/>
      <c r="AD4" s="16">
        <v>0.29305555555555557</v>
      </c>
      <c r="AE4" s="10">
        <v>0.68125000000000002</v>
      </c>
      <c r="AF4" s="9" t="str">
        <f t="shared" si="18"/>
        <v>9h 19m</v>
      </c>
      <c r="AG4" s="18"/>
      <c r="AH4" s="16">
        <v>0.29652777777777778</v>
      </c>
      <c r="AI4" s="10">
        <v>0.68125000000000002</v>
      </c>
      <c r="AJ4" s="9" t="str">
        <f t="shared" si="19"/>
        <v>9h 14m</v>
      </c>
      <c r="AK4" s="18"/>
      <c r="AL4" s="16">
        <v>0.2986111111111111</v>
      </c>
      <c r="AM4" s="10">
        <v>0.67847222222222225</v>
      </c>
      <c r="AN4" s="9" t="str">
        <f t="shared" si="20"/>
        <v>9h 07m</v>
      </c>
      <c r="AO4" s="18"/>
      <c r="AP4" s="16">
        <v>0.3125</v>
      </c>
      <c r="AQ4" s="10">
        <v>0.6791666666666667</v>
      </c>
      <c r="AR4" s="9" t="str">
        <f t="shared" si="21"/>
        <v>8h 48m</v>
      </c>
      <c r="AS4" s="51"/>
      <c r="AT4" s="20"/>
      <c r="AU4" s="12"/>
      <c r="AV4" s="12" t="str">
        <f t="shared" si="1"/>
        <v>0h 00m</v>
      </c>
      <c r="AW4" s="53"/>
      <c r="AX4" s="143">
        <v>0.29166666666666669</v>
      </c>
      <c r="AY4" s="10">
        <v>0.67777777777777781</v>
      </c>
      <c r="AZ4" s="9" t="str">
        <f t="shared" si="22"/>
        <v>9h 16m</v>
      </c>
      <c r="BA4" s="51"/>
      <c r="BB4" s="20"/>
      <c r="BC4" s="12"/>
      <c r="BD4" s="55" t="str">
        <f t="shared" si="2"/>
        <v>0h 00m</v>
      </c>
      <c r="BE4" s="53"/>
      <c r="BF4" s="143">
        <v>0.30416666666666664</v>
      </c>
      <c r="BG4" s="10">
        <v>0.68055555555555558</v>
      </c>
      <c r="BH4" s="9" t="str">
        <f t="shared" si="3"/>
        <v>9h 02m</v>
      </c>
      <c r="BI4" s="18"/>
      <c r="BJ4" s="19">
        <v>0.30208333333333331</v>
      </c>
      <c r="BK4" s="10">
        <v>0.6791666666666667</v>
      </c>
      <c r="BL4" s="9" t="str">
        <f t="shared" si="4"/>
        <v>9h 03m</v>
      </c>
      <c r="BM4" s="18"/>
      <c r="BN4" s="19">
        <v>0.2986111111111111</v>
      </c>
      <c r="BO4" s="10">
        <v>0.6791666666666667</v>
      </c>
      <c r="BP4" s="9" t="str">
        <f t="shared" si="5"/>
        <v>9h 08m</v>
      </c>
      <c r="BQ4" s="18"/>
      <c r="BR4" s="16">
        <v>0.30208333333333331</v>
      </c>
      <c r="BS4" s="10">
        <v>0.6791666666666667</v>
      </c>
      <c r="BT4" s="9" t="str">
        <f t="shared" si="6"/>
        <v>9h 03m</v>
      </c>
      <c r="BU4" s="51"/>
      <c r="BV4" s="20"/>
      <c r="BW4" s="12"/>
      <c r="BX4" s="36" t="str">
        <f t="shared" si="7"/>
        <v>0h 00m</v>
      </c>
      <c r="BY4" s="53"/>
      <c r="BZ4" s="143">
        <v>0.29652777777777778</v>
      </c>
      <c r="CA4" s="10">
        <v>0.67986111111111114</v>
      </c>
      <c r="CB4" s="9" t="str">
        <f t="shared" si="8"/>
        <v>9h 12m</v>
      </c>
      <c r="CC4" s="18"/>
      <c r="CD4" s="16">
        <v>0.27083333333333331</v>
      </c>
      <c r="CE4" s="10">
        <v>0.67708333333333337</v>
      </c>
      <c r="CF4" s="9" t="str">
        <f t="shared" si="9"/>
        <v>9h 45m</v>
      </c>
      <c r="CG4" s="53"/>
      <c r="CH4" s="16">
        <v>0.2951388888888889</v>
      </c>
      <c r="CI4" s="10">
        <v>0.67708333333333337</v>
      </c>
      <c r="CJ4" s="9" t="str">
        <f t="shared" si="10"/>
        <v>9h 10m</v>
      </c>
      <c r="CK4" s="18"/>
      <c r="CL4" s="16">
        <v>0.30416666666666664</v>
      </c>
      <c r="CM4" s="10">
        <v>0.68333333333333335</v>
      </c>
      <c r="CN4" s="9" t="str">
        <f t="shared" si="11"/>
        <v>9h 06m</v>
      </c>
      <c r="CO4" s="18"/>
      <c r="CP4" s="16">
        <v>0.2986111111111111</v>
      </c>
      <c r="CQ4" s="10">
        <v>0.67986111111111114</v>
      </c>
      <c r="CR4" s="9" t="str">
        <f t="shared" si="12"/>
        <v>9h 09m</v>
      </c>
      <c r="CS4" s="18"/>
      <c r="CT4" s="22"/>
      <c r="CU4" s="22"/>
    </row>
    <row r="5" spans="1:99" ht="15" thickBot="1" x14ac:dyDescent="0.35">
      <c r="A5" s="2" t="s">
        <v>35</v>
      </c>
      <c r="B5" s="129">
        <v>0.30486111111111114</v>
      </c>
      <c r="C5" s="130">
        <v>0.68402777777777779</v>
      </c>
      <c r="D5" s="8" t="str">
        <f t="shared" si="13"/>
        <v>9h 06m</v>
      </c>
      <c r="E5" s="46"/>
      <c r="F5" s="129">
        <v>0.30069444444444443</v>
      </c>
      <c r="G5" s="130">
        <v>0.67777777777777781</v>
      </c>
      <c r="H5" s="8" t="str">
        <f t="shared" si="14"/>
        <v>9h 03m</v>
      </c>
      <c r="I5" s="170"/>
      <c r="J5" s="122"/>
      <c r="K5" s="123"/>
      <c r="L5" s="182" t="str">
        <f t="shared" si="0"/>
        <v>0h 00m</v>
      </c>
      <c r="M5" s="194"/>
      <c r="N5" s="143">
        <v>0.27013888888888887</v>
      </c>
      <c r="O5" s="10">
        <v>0.69930555555555551</v>
      </c>
      <c r="P5" s="8" t="str">
        <f t="shared" si="15"/>
        <v>10h 18m</v>
      </c>
      <c r="Q5" s="17"/>
      <c r="R5" s="16">
        <v>0.26944444444444443</v>
      </c>
      <c r="S5" s="10">
        <v>0.68125000000000002</v>
      </c>
      <c r="T5" s="9" t="str">
        <f t="shared" si="23"/>
        <v>9h 53m</v>
      </c>
      <c r="U5" s="51"/>
      <c r="V5" s="20"/>
      <c r="W5" s="12"/>
      <c r="X5" s="9" t="str">
        <f t="shared" si="16"/>
        <v>0h 00m</v>
      </c>
      <c r="Y5" s="53"/>
      <c r="Z5" s="199" t="s">
        <v>63</v>
      </c>
      <c r="AA5" s="132" t="s">
        <v>64</v>
      </c>
      <c r="AB5" s="9" t="str">
        <f>$T$2</f>
        <v>0h 00m</v>
      </c>
      <c r="AC5" s="18" t="s">
        <v>66</v>
      </c>
      <c r="AD5" s="16">
        <v>0.29444444444444445</v>
      </c>
      <c r="AE5" s="10">
        <v>0.6791666666666667</v>
      </c>
      <c r="AF5" s="9" t="str">
        <f t="shared" si="18"/>
        <v>9h 14m</v>
      </c>
      <c r="AG5" s="18"/>
      <c r="AH5" s="21">
        <v>0.29236111111111113</v>
      </c>
      <c r="AI5" s="11">
        <v>0.67777777777777781</v>
      </c>
      <c r="AJ5" s="9" t="str">
        <f t="shared" si="19"/>
        <v>9h 15m</v>
      </c>
      <c r="AK5" s="18"/>
      <c r="AL5" s="16">
        <v>0.29791666666666666</v>
      </c>
      <c r="AM5" s="10">
        <v>0.67777777777777781</v>
      </c>
      <c r="AN5" s="9" t="str">
        <f t="shared" si="20"/>
        <v>9h 07m</v>
      </c>
      <c r="AO5" s="18"/>
      <c r="AP5" s="16">
        <v>0.30208333333333331</v>
      </c>
      <c r="AQ5" s="10">
        <v>0.67708333333333337</v>
      </c>
      <c r="AR5" s="9" t="str">
        <f t="shared" si="21"/>
        <v>9h 00m</v>
      </c>
      <c r="AS5" s="51"/>
      <c r="AT5" s="20"/>
      <c r="AU5" s="12"/>
      <c r="AV5" s="12" t="str">
        <f t="shared" si="1"/>
        <v>0h 00m</v>
      </c>
      <c r="AW5" s="53"/>
      <c r="AX5" s="143">
        <v>0.30138888888888887</v>
      </c>
      <c r="AY5" s="10">
        <v>0.67708333333333337</v>
      </c>
      <c r="AZ5" s="9" t="str">
        <f t="shared" si="22"/>
        <v>9h 01m</v>
      </c>
      <c r="BA5" s="51"/>
      <c r="BB5" s="20"/>
      <c r="BC5" s="12"/>
      <c r="BD5" s="55" t="str">
        <f t="shared" si="2"/>
        <v>0h 00m</v>
      </c>
      <c r="BE5" s="53"/>
      <c r="BF5" s="143">
        <v>0.29722222222222222</v>
      </c>
      <c r="BG5" s="10">
        <v>0.68194444444444446</v>
      </c>
      <c r="BH5" s="9" t="str">
        <f t="shared" si="3"/>
        <v>9h 14m</v>
      </c>
      <c r="BI5" s="18"/>
      <c r="BJ5" s="16">
        <v>0.30069444444444443</v>
      </c>
      <c r="BK5" s="10">
        <v>0.68194444444444446</v>
      </c>
      <c r="BL5" s="9" t="str">
        <f t="shared" si="4"/>
        <v>9h 09m</v>
      </c>
      <c r="BM5" s="18"/>
      <c r="BN5" s="16">
        <v>0.29375000000000001</v>
      </c>
      <c r="BO5" s="10">
        <v>0.67986111111111114</v>
      </c>
      <c r="BP5" s="9" t="str">
        <f t="shared" si="5"/>
        <v>9h 16m</v>
      </c>
      <c r="BQ5" s="18"/>
      <c r="BR5" s="16">
        <v>0.3</v>
      </c>
      <c r="BS5" s="10">
        <v>0.67777777777777781</v>
      </c>
      <c r="BT5" s="9" t="str">
        <f t="shared" si="6"/>
        <v>9h 04m</v>
      </c>
      <c r="BU5" s="51"/>
      <c r="BV5" s="20"/>
      <c r="BW5" s="12"/>
      <c r="BX5" s="36" t="str">
        <f t="shared" si="7"/>
        <v>0h 00m</v>
      </c>
      <c r="BY5" s="53"/>
      <c r="BZ5" s="143">
        <v>0.29166666666666669</v>
      </c>
      <c r="CA5" s="10">
        <v>0.67847222222222225</v>
      </c>
      <c r="CB5" s="9" t="str">
        <f t="shared" si="8"/>
        <v>9h 17m</v>
      </c>
      <c r="CC5" s="18"/>
      <c r="CD5" s="16">
        <v>0.27083333333333331</v>
      </c>
      <c r="CE5" s="10">
        <v>0.67708333333333337</v>
      </c>
      <c r="CF5" s="9" t="str">
        <f t="shared" si="9"/>
        <v>9h 45m</v>
      </c>
      <c r="CG5" s="53"/>
      <c r="CH5" s="16">
        <v>0.28680555555555554</v>
      </c>
      <c r="CI5" s="10">
        <v>0.67708333333333337</v>
      </c>
      <c r="CJ5" s="9" t="str">
        <f t="shared" si="10"/>
        <v>9h 22m</v>
      </c>
      <c r="CK5" s="18"/>
      <c r="CL5" s="16"/>
      <c r="CM5" s="10"/>
      <c r="CN5" s="9" t="str">
        <f t="shared" si="11"/>
        <v>0h 00m</v>
      </c>
      <c r="CO5" s="18"/>
      <c r="CP5" s="16">
        <v>0.29722222222222222</v>
      </c>
      <c r="CQ5" s="10">
        <v>0.67777777777777781</v>
      </c>
      <c r="CR5" s="9" t="str">
        <f t="shared" si="12"/>
        <v>9h 08m</v>
      </c>
      <c r="CS5" s="18"/>
      <c r="CT5" s="22"/>
      <c r="CU5" s="22"/>
    </row>
    <row r="6" spans="1:99" ht="15" thickBot="1" x14ac:dyDescent="0.35">
      <c r="A6" s="2" t="s">
        <v>36</v>
      </c>
      <c r="B6" s="129">
        <v>0.30763888888888891</v>
      </c>
      <c r="C6" s="130">
        <v>0.68263888888888891</v>
      </c>
      <c r="D6" s="8" t="str">
        <f t="shared" si="13"/>
        <v>9h 00m</v>
      </c>
      <c r="E6" s="46"/>
      <c r="F6" s="129">
        <v>0.3</v>
      </c>
      <c r="G6" s="130">
        <v>0.67777777777777781</v>
      </c>
      <c r="H6" s="8" t="str">
        <f t="shared" si="14"/>
        <v>9h 04m</v>
      </c>
      <c r="I6" s="170"/>
      <c r="J6" s="122"/>
      <c r="K6" s="123"/>
      <c r="L6" s="182" t="str">
        <f t="shared" si="0"/>
        <v>0h 00m</v>
      </c>
      <c r="M6" s="194"/>
      <c r="N6" s="143">
        <v>0.27083333333333331</v>
      </c>
      <c r="O6" s="10">
        <v>0.70208333333333328</v>
      </c>
      <c r="P6" s="8" t="str">
        <f t="shared" si="15"/>
        <v>10h 21m</v>
      </c>
      <c r="Q6" s="17"/>
      <c r="R6" s="16">
        <v>0.26527777777777778</v>
      </c>
      <c r="S6" s="10">
        <v>0.6875</v>
      </c>
      <c r="T6" s="9" t="str">
        <f t="shared" si="23"/>
        <v>10h 08m</v>
      </c>
      <c r="U6" s="51"/>
      <c r="V6" s="20"/>
      <c r="W6" s="12"/>
      <c r="X6" s="9" t="str">
        <f t="shared" si="16"/>
        <v>0h 00m</v>
      </c>
      <c r="Y6" s="53"/>
      <c r="Z6" s="161">
        <v>0.2986111111111111</v>
      </c>
      <c r="AA6" s="9"/>
      <c r="AB6" s="9" t="str">
        <f>$T$2</f>
        <v>0h 00m</v>
      </c>
      <c r="AC6" s="18"/>
      <c r="AD6" s="16">
        <v>0.29444444444444445</v>
      </c>
      <c r="AE6" s="10">
        <v>0.67847222222222225</v>
      </c>
      <c r="AF6" s="9" t="str">
        <f t="shared" si="18"/>
        <v>9h 13m</v>
      </c>
      <c r="AG6" s="18"/>
      <c r="AH6" s="16">
        <v>0.3</v>
      </c>
      <c r="AI6" s="10">
        <v>0.67847222222222225</v>
      </c>
      <c r="AJ6" s="9" t="str">
        <f t="shared" si="19"/>
        <v>9h 05m</v>
      </c>
      <c r="AK6" s="18"/>
      <c r="AL6" s="16">
        <v>0.29722222222222222</v>
      </c>
      <c r="AM6" s="10">
        <v>0.6791666666666667</v>
      </c>
      <c r="AN6" s="9" t="str">
        <f t="shared" si="20"/>
        <v>9h 10m</v>
      </c>
      <c r="AO6" s="18"/>
      <c r="AP6" s="16">
        <v>0.28472222222222221</v>
      </c>
      <c r="AQ6" s="10">
        <v>0.67708333333333337</v>
      </c>
      <c r="AR6" s="9" t="str">
        <f t="shared" si="21"/>
        <v>9h 25m</v>
      </c>
      <c r="AS6" s="51"/>
      <c r="AT6" s="20"/>
      <c r="AU6" s="12"/>
      <c r="AV6" s="12" t="str">
        <f t="shared" si="1"/>
        <v>0h 00m</v>
      </c>
      <c r="AW6" s="53"/>
      <c r="AX6" s="143">
        <v>0.2986111111111111</v>
      </c>
      <c r="AY6" s="10">
        <v>0.67777777777777781</v>
      </c>
      <c r="AZ6" s="9" t="str">
        <f t="shared" si="22"/>
        <v>9h 06m</v>
      </c>
      <c r="BA6" s="51"/>
      <c r="BB6" s="20"/>
      <c r="BC6" s="12"/>
      <c r="BD6" s="55" t="str">
        <f t="shared" si="2"/>
        <v>0h 00m</v>
      </c>
      <c r="BE6" s="53"/>
      <c r="BF6" s="161">
        <v>0.29791666666666666</v>
      </c>
      <c r="BG6" s="7">
        <v>0.67986111111111114</v>
      </c>
      <c r="BH6" s="9" t="str">
        <f t="shared" ref="BH6:BH32" si="24">TEXT(BG6-BF6,"h""h ""mm""m""")</f>
        <v>9h 10m</v>
      </c>
      <c r="BI6" s="18"/>
      <c r="BJ6" s="19">
        <v>0.30069444444444443</v>
      </c>
      <c r="BK6" s="7">
        <v>0.67708333333333337</v>
      </c>
      <c r="BL6" s="9" t="str">
        <f t="shared" ref="BL6:BL32" si="25">TEXT(BK6-BJ6,"h""h ""mm""m""")</f>
        <v>9h 02m</v>
      </c>
      <c r="BM6" s="18"/>
      <c r="BN6" s="19">
        <v>0.29791666666666666</v>
      </c>
      <c r="BO6" s="7">
        <v>0.67847222222222225</v>
      </c>
      <c r="BP6" s="9" t="str">
        <f t="shared" ref="BP6:BP32" si="26">TEXT(BO6-BN6,"h""h ""mm""m""")</f>
        <v>9h 08m</v>
      </c>
      <c r="BQ6" s="18"/>
      <c r="BR6" s="19">
        <v>0.30069444444444443</v>
      </c>
      <c r="BS6" s="7">
        <v>0.67708333333333337</v>
      </c>
      <c r="BT6" s="9" t="str">
        <f t="shared" ref="BT6:BT32" si="27">TEXT(BS6-BR6,"h""h ""mm""m""")</f>
        <v>9h 02m</v>
      </c>
      <c r="BU6" s="51"/>
      <c r="BV6" s="16"/>
      <c r="BW6" s="10"/>
      <c r="BX6" s="36" t="str">
        <f t="shared" ref="BX6:BX19" si="28">TEXT(BW6-BV6,"h""h ""mm""m""")</f>
        <v>0h 00m</v>
      </c>
      <c r="BY6" s="53"/>
      <c r="BZ6" s="161">
        <v>0.29236111111111113</v>
      </c>
      <c r="CA6" s="7">
        <v>0.67847222222222225</v>
      </c>
      <c r="CB6" s="9" t="str">
        <f t="shared" ref="CB6:CB32" si="29">TEXT(CA6-BZ6,"h""h ""mm""m""")</f>
        <v>9h 16m</v>
      </c>
      <c r="CC6" s="18"/>
      <c r="CD6" s="16">
        <v>0.27083333333333331</v>
      </c>
      <c r="CE6" s="10">
        <v>0.67708333333333337</v>
      </c>
      <c r="CF6" s="9" t="str">
        <f t="shared" si="9"/>
        <v>9h 45m</v>
      </c>
      <c r="CG6" s="53"/>
      <c r="CH6" s="19">
        <v>0.29166666666666669</v>
      </c>
      <c r="CI6" s="7">
        <v>0.67708333333333337</v>
      </c>
      <c r="CJ6" s="9" t="str">
        <f t="shared" ref="CJ6:CJ32" si="30">TEXT(CI6-CH6,"h""h ""mm""m""")</f>
        <v>9h 15m</v>
      </c>
      <c r="CK6" s="18"/>
      <c r="CL6" s="19">
        <v>0.30208333333333331</v>
      </c>
      <c r="CM6" s="7">
        <v>0.68333333333333335</v>
      </c>
      <c r="CN6" s="9" t="str">
        <f t="shared" ref="CN6:CN32" si="31">TEXT(CM6-CL6,"h""h ""mm""m""")</f>
        <v>9h 09m</v>
      </c>
      <c r="CO6" s="18"/>
      <c r="CP6" s="19">
        <v>0.29305555555555557</v>
      </c>
      <c r="CQ6" s="7">
        <v>0.67847222222222225</v>
      </c>
      <c r="CR6" s="9" t="str">
        <f t="shared" ref="CR6:CR32" si="32">TEXT(CQ6-CP6,"h""h ""mm""m""")</f>
        <v>9h 15m</v>
      </c>
      <c r="CS6" s="18"/>
      <c r="CT6" s="22"/>
      <c r="CU6" s="22"/>
    </row>
    <row r="7" spans="1:99" s="26" customFormat="1" ht="15" thickBot="1" x14ac:dyDescent="0.35">
      <c r="A7" s="3" t="s">
        <v>37</v>
      </c>
      <c r="B7" s="137">
        <v>0.29930555555555555</v>
      </c>
      <c r="C7" s="141">
        <v>0.67986111111111114</v>
      </c>
      <c r="D7" s="8" t="str">
        <f t="shared" si="13"/>
        <v>9h 08m</v>
      </c>
      <c r="E7" s="47"/>
      <c r="F7" s="137">
        <v>0.3034722222222222</v>
      </c>
      <c r="G7" s="141">
        <v>0.67777777777777781</v>
      </c>
      <c r="H7" s="8" t="str">
        <f t="shared" si="14"/>
        <v>8h 59m</v>
      </c>
      <c r="I7" s="171"/>
      <c r="J7" s="120"/>
      <c r="K7" s="121"/>
      <c r="L7" s="182" t="str">
        <f t="shared" si="0"/>
        <v>0h 00m</v>
      </c>
      <c r="M7" s="195"/>
      <c r="N7" s="144">
        <v>0.27569444444444446</v>
      </c>
      <c r="O7" s="140">
        <v>0.68888888888888888</v>
      </c>
      <c r="P7" s="8" t="str">
        <f t="shared" si="15"/>
        <v>9h 55m</v>
      </c>
      <c r="Q7" s="17"/>
      <c r="R7" s="138">
        <v>0.27500000000000002</v>
      </c>
      <c r="S7" s="139">
        <v>0.49444444444444446</v>
      </c>
      <c r="T7" s="9" t="str">
        <f t="shared" si="23"/>
        <v>5h 16m</v>
      </c>
      <c r="U7" s="51" t="s">
        <v>67</v>
      </c>
      <c r="V7" s="20"/>
      <c r="W7" s="12"/>
      <c r="X7" s="9" t="str">
        <f t="shared" si="16"/>
        <v>0h 00m</v>
      </c>
      <c r="Y7" s="53"/>
      <c r="Z7" s="200"/>
      <c r="AA7" s="9"/>
      <c r="AB7" s="9" t="str">
        <f t="shared" si="17"/>
        <v>0h 00m</v>
      </c>
      <c r="AC7" s="18"/>
      <c r="AD7" s="136">
        <v>0.2902777777777778</v>
      </c>
      <c r="AE7" s="140">
        <v>0.6791666666666667</v>
      </c>
      <c r="AF7" s="9" t="str">
        <f t="shared" si="18"/>
        <v>9h 20m</v>
      </c>
      <c r="AG7" s="18"/>
      <c r="AH7" s="136">
        <v>0.29097222222222224</v>
      </c>
      <c r="AI7" s="140">
        <v>0.67777777777777781</v>
      </c>
      <c r="AJ7" s="9" t="str">
        <f t="shared" si="19"/>
        <v>9h 17m</v>
      </c>
      <c r="AK7" s="18"/>
      <c r="AL7" s="136">
        <v>0.29722222222222222</v>
      </c>
      <c r="AM7" s="140">
        <v>0.67847222222222225</v>
      </c>
      <c r="AN7" s="9" t="str">
        <f t="shared" si="20"/>
        <v>9h 09m</v>
      </c>
      <c r="AO7" s="18"/>
      <c r="AP7" s="136">
        <v>0.28472222222222221</v>
      </c>
      <c r="AQ7" s="140">
        <v>0.67847222222222225</v>
      </c>
      <c r="AR7" s="9" t="str">
        <f t="shared" si="21"/>
        <v>9h 27m</v>
      </c>
      <c r="AS7" s="51"/>
      <c r="AT7" s="20"/>
      <c r="AU7" s="12"/>
      <c r="AV7" s="12" t="str">
        <f t="shared" si="1"/>
        <v>0h 00m</v>
      </c>
      <c r="AW7" s="53"/>
      <c r="AX7" s="144">
        <v>0.30208333333333331</v>
      </c>
      <c r="AY7" s="140">
        <v>0.67708333333333337</v>
      </c>
      <c r="AZ7" s="9" t="str">
        <f t="shared" si="22"/>
        <v>9h 00m</v>
      </c>
      <c r="BA7" s="51"/>
      <c r="BB7" s="20"/>
      <c r="BC7" s="12"/>
      <c r="BD7" s="55" t="str">
        <f t="shared" si="2"/>
        <v>0h 00m</v>
      </c>
      <c r="BE7" s="53"/>
      <c r="BF7" s="144">
        <v>0.2986111111111111</v>
      </c>
      <c r="BG7" s="140">
        <v>0.67986111111111114</v>
      </c>
      <c r="BH7" s="9" t="str">
        <f t="shared" si="24"/>
        <v>9h 09m</v>
      </c>
      <c r="BI7" s="18"/>
      <c r="BJ7" s="136">
        <v>0.3034722222222222</v>
      </c>
      <c r="BK7" s="140">
        <v>0.67708333333333337</v>
      </c>
      <c r="BL7" s="9" t="str">
        <f t="shared" si="25"/>
        <v>8h 58m</v>
      </c>
      <c r="BM7" s="18"/>
      <c r="BN7" s="136">
        <v>0.29722222222222222</v>
      </c>
      <c r="BO7" s="140">
        <v>0.67777777777777781</v>
      </c>
      <c r="BP7" s="9" t="str">
        <f t="shared" si="26"/>
        <v>9h 08m</v>
      </c>
      <c r="BQ7" s="18"/>
      <c r="BR7" s="136">
        <v>0.30069444444444443</v>
      </c>
      <c r="BS7" s="140">
        <v>0.67708333333333337</v>
      </c>
      <c r="BT7" s="9" t="str">
        <f t="shared" si="27"/>
        <v>9h 02m</v>
      </c>
      <c r="BU7" s="51"/>
      <c r="BV7" s="16"/>
      <c r="BW7" s="10"/>
      <c r="BX7" s="36" t="str">
        <f t="shared" si="28"/>
        <v>0h 00m</v>
      </c>
      <c r="BY7" s="53"/>
      <c r="BZ7" s="144">
        <v>0.29930555555555555</v>
      </c>
      <c r="CA7" s="140">
        <v>0.67708333333333337</v>
      </c>
      <c r="CB7" s="9" t="str">
        <f t="shared" si="29"/>
        <v>9h 04m</v>
      </c>
      <c r="CC7" s="18"/>
      <c r="CD7" s="16">
        <v>0.27430555555555558</v>
      </c>
      <c r="CE7" s="10">
        <v>0.67708333333333337</v>
      </c>
      <c r="CF7" s="9" t="str">
        <f t="shared" si="9"/>
        <v>9h 40m</v>
      </c>
      <c r="CG7" s="53"/>
      <c r="CH7" s="136">
        <v>0.2986111111111111</v>
      </c>
      <c r="CI7" s="140">
        <v>0.67708333333333337</v>
      </c>
      <c r="CJ7" s="9" t="str">
        <f t="shared" si="30"/>
        <v>9h 05m</v>
      </c>
      <c r="CK7" s="18"/>
      <c r="CL7" s="133"/>
      <c r="CM7" s="134"/>
      <c r="CN7" s="9" t="str">
        <f t="shared" si="31"/>
        <v>0h 00m</v>
      </c>
      <c r="CO7" s="18"/>
      <c r="CP7" s="136">
        <v>0.2951388888888889</v>
      </c>
      <c r="CQ7" s="140">
        <v>0.67777777777777781</v>
      </c>
      <c r="CR7" s="9" t="str">
        <f t="shared" si="32"/>
        <v>9h 11m</v>
      </c>
      <c r="CS7" s="18"/>
      <c r="CT7" s="135"/>
      <c r="CU7" s="135"/>
    </row>
    <row r="8" spans="1:99" s="26" customFormat="1" ht="15" thickBot="1" x14ac:dyDescent="0.35">
      <c r="A8" s="80" t="s">
        <v>38</v>
      </c>
      <c r="B8" s="118"/>
      <c r="C8" s="119"/>
      <c r="D8" s="81" t="str">
        <f t="shared" si="13"/>
        <v>0h 00m</v>
      </c>
      <c r="E8" s="82"/>
      <c r="F8" s="118"/>
      <c r="G8" s="119"/>
      <c r="H8" s="81" t="str">
        <f t="shared" si="14"/>
        <v>0h 00m</v>
      </c>
      <c r="I8" s="172"/>
      <c r="J8" s="118"/>
      <c r="K8" s="119"/>
      <c r="L8" s="102" t="str">
        <f t="shared" si="0"/>
        <v>0h 00m</v>
      </c>
      <c r="M8" s="196"/>
      <c r="N8" s="145"/>
      <c r="O8" s="84"/>
      <c r="P8" s="81" t="str">
        <f t="shared" si="15"/>
        <v>0h 00m</v>
      </c>
      <c r="Q8" s="85"/>
      <c r="R8" s="83"/>
      <c r="S8" s="84"/>
      <c r="T8" s="86" t="str">
        <f t="shared" si="23"/>
        <v>0h 00m</v>
      </c>
      <c r="U8" s="87"/>
      <c r="V8" s="89"/>
      <c r="W8" s="90"/>
      <c r="X8" s="86" t="str">
        <f t="shared" si="16"/>
        <v>0h 00m</v>
      </c>
      <c r="Y8" s="91"/>
      <c r="Z8" s="201"/>
      <c r="AA8" s="86"/>
      <c r="AB8" s="86" t="str">
        <f t="shared" si="17"/>
        <v>0h 00m</v>
      </c>
      <c r="AC8" s="88"/>
      <c r="AD8" s="83"/>
      <c r="AE8" s="84"/>
      <c r="AF8" s="86" t="str">
        <f t="shared" si="18"/>
        <v>0h 00m</v>
      </c>
      <c r="AG8" s="88"/>
      <c r="AH8" s="83"/>
      <c r="AI8" s="84"/>
      <c r="AJ8" s="86" t="str">
        <f t="shared" si="19"/>
        <v>0h 00m</v>
      </c>
      <c r="AK8" s="88"/>
      <c r="AL8" s="83"/>
      <c r="AM8" s="84"/>
      <c r="AN8" s="86" t="str">
        <f t="shared" si="20"/>
        <v>0h 00m</v>
      </c>
      <c r="AO8" s="88"/>
      <c r="AP8" s="83"/>
      <c r="AQ8" s="84"/>
      <c r="AR8" s="86" t="str">
        <f t="shared" si="21"/>
        <v>0h 00m</v>
      </c>
      <c r="AS8" s="87"/>
      <c r="AT8" s="89"/>
      <c r="AU8" s="90"/>
      <c r="AV8" s="90" t="str">
        <f t="shared" si="1"/>
        <v>0h 00m</v>
      </c>
      <c r="AW8" s="91"/>
      <c r="AX8" s="145"/>
      <c r="AY8" s="84"/>
      <c r="AZ8" s="86" t="str">
        <f t="shared" si="22"/>
        <v>0h 00m</v>
      </c>
      <c r="BA8" s="87"/>
      <c r="BB8" s="89"/>
      <c r="BC8" s="90"/>
      <c r="BD8" s="167" t="str">
        <f t="shared" si="2"/>
        <v>0h 00m</v>
      </c>
      <c r="BE8" s="91"/>
      <c r="BF8" s="145"/>
      <c r="BG8" s="84"/>
      <c r="BH8" s="86" t="str">
        <f t="shared" si="24"/>
        <v>0h 00m</v>
      </c>
      <c r="BI8" s="88"/>
      <c r="BJ8" s="83"/>
      <c r="BK8" s="84"/>
      <c r="BL8" s="86" t="str">
        <f t="shared" si="25"/>
        <v>0h 00m</v>
      </c>
      <c r="BM8" s="88"/>
      <c r="BN8" s="83"/>
      <c r="BO8" s="84"/>
      <c r="BP8" s="86" t="str">
        <f t="shared" si="26"/>
        <v>0h 00m</v>
      </c>
      <c r="BQ8" s="88"/>
      <c r="BR8" s="83"/>
      <c r="BS8" s="84"/>
      <c r="BT8" s="86" t="str">
        <f t="shared" si="27"/>
        <v>0h 00m</v>
      </c>
      <c r="BU8" s="87"/>
      <c r="BV8" s="89"/>
      <c r="BW8" s="90"/>
      <c r="BX8" s="108" t="str">
        <f t="shared" si="28"/>
        <v>0h 00m</v>
      </c>
      <c r="BY8" s="91"/>
      <c r="BZ8" s="145"/>
      <c r="CA8" s="84"/>
      <c r="CB8" s="86" t="str">
        <f t="shared" si="29"/>
        <v>0h 00m</v>
      </c>
      <c r="CC8" s="88"/>
      <c r="CD8" s="89"/>
      <c r="CE8" s="90"/>
      <c r="CF8" s="86" t="str">
        <f t="shared" si="9"/>
        <v>0h 00m</v>
      </c>
      <c r="CG8" s="91"/>
      <c r="CH8" s="83"/>
      <c r="CI8" s="84"/>
      <c r="CJ8" s="86" t="str">
        <f t="shared" si="30"/>
        <v>0h 00m</v>
      </c>
      <c r="CK8" s="88"/>
      <c r="CL8" s="83"/>
      <c r="CM8" s="84"/>
      <c r="CN8" s="86" t="str">
        <f t="shared" si="31"/>
        <v>0h 00m</v>
      </c>
      <c r="CO8" s="88"/>
      <c r="CP8" s="83"/>
      <c r="CQ8" s="84"/>
      <c r="CR8" s="86" t="str">
        <f t="shared" si="32"/>
        <v>0h 00m</v>
      </c>
      <c r="CS8" s="88"/>
      <c r="CT8" s="92"/>
      <c r="CU8" s="92"/>
    </row>
    <row r="9" spans="1:99" ht="15" thickBot="1" x14ac:dyDescent="0.35">
      <c r="A9" s="80" t="s">
        <v>39</v>
      </c>
      <c r="B9" s="118"/>
      <c r="C9" s="119"/>
      <c r="D9" s="81" t="str">
        <f t="shared" si="13"/>
        <v>0h 00m</v>
      </c>
      <c r="E9" s="82"/>
      <c r="F9" s="118"/>
      <c r="G9" s="119"/>
      <c r="H9" s="81" t="str">
        <f t="shared" si="14"/>
        <v>0h 00m</v>
      </c>
      <c r="I9" s="172"/>
      <c r="J9" s="118"/>
      <c r="K9" s="119"/>
      <c r="L9" s="102" t="str">
        <f t="shared" si="0"/>
        <v>0h 00m</v>
      </c>
      <c r="M9" s="196"/>
      <c r="N9" s="148"/>
      <c r="O9" s="90"/>
      <c r="P9" s="81" t="str">
        <f t="shared" si="15"/>
        <v>0h 00m</v>
      </c>
      <c r="Q9" s="85"/>
      <c r="R9" s="89"/>
      <c r="S9" s="90"/>
      <c r="T9" s="86" t="str">
        <f t="shared" si="23"/>
        <v>0h 00m</v>
      </c>
      <c r="U9" s="87"/>
      <c r="V9" s="89"/>
      <c r="W9" s="90"/>
      <c r="X9" s="86" t="str">
        <f t="shared" si="16"/>
        <v>0h 00m</v>
      </c>
      <c r="Y9" s="91"/>
      <c r="Z9" s="201"/>
      <c r="AA9" s="86"/>
      <c r="AB9" s="86" t="str">
        <f t="shared" si="17"/>
        <v>0h 00m</v>
      </c>
      <c r="AC9" s="88"/>
      <c r="AD9" s="95"/>
      <c r="AE9" s="96"/>
      <c r="AF9" s="86" t="str">
        <f t="shared" si="18"/>
        <v>0h 00m</v>
      </c>
      <c r="AG9" s="88"/>
      <c r="AH9" s="95"/>
      <c r="AI9" s="96"/>
      <c r="AJ9" s="86" t="str">
        <f t="shared" si="19"/>
        <v>0h 00m</v>
      </c>
      <c r="AK9" s="88"/>
      <c r="AL9" s="95"/>
      <c r="AM9" s="96"/>
      <c r="AN9" s="86" t="str">
        <f t="shared" si="20"/>
        <v>0h 00m</v>
      </c>
      <c r="AO9" s="88"/>
      <c r="AP9" s="95"/>
      <c r="AQ9" s="96"/>
      <c r="AR9" s="86" t="str">
        <f t="shared" si="21"/>
        <v>0h 00m</v>
      </c>
      <c r="AS9" s="87"/>
      <c r="AT9" s="89"/>
      <c r="AU9" s="90"/>
      <c r="AV9" s="90" t="str">
        <f t="shared" si="1"/>
        <v>0h 00m</v>
      </c>
      <c r="AW9" s="91"/>
      <c r="AX9" s="146"/>
      <c r="AY9" s="96"/>
      <c r="AZ9" s="86" t="str">
        <f t="shared" si="22"/>
        <v>0h 00m</v>
      </c>
      <c r="BA9" s="87"/>
      <c r="BB9" s="89"/>
      <c r="BC9" s="90"/>
      <c r="BD9" s="167" t="str">
        <f t="shared" si="2"/>
        <v>0h 00m</v>
      </c>
      <c r="BE9" s="91"/>
      <c r="BF9" s="146"/>
      <c r="BG9" s="96"/>
      <c r="BH9" s="86" t="str">
        <f t="shared" si="24"/>
        <v>0h 00m</v>
      </c>
      <c r="BI9" s="88"/>
      <c r="BJ9" s="95"/>
      <c r="BK9" s="96"/>
      <c r="BL9" s="86" t="str">
        <f t="shared" si="25"/>
        <v>0h 00m</v>
      </c>
      <c r="BM9" s="88"/>
      <c r="BN9" s="95"/>
      <c r="BO9" s="96"/>
      <c r="BP9" s="86" t="str">
        <f t="shared" si="26"/>
        <v>0h 00m</v>
      </c>
      <c r="BQ9" s="88"/>
      <c r="BR9" s="95"/>
      <c r="BS9" s="96"/>
      <c r="BT9" s="86" t="str">
        <f t="shared" si="27"/>
        <v>0h 00m</v>
      </c>
      <c r="BU9" s="87"/>
      <c r="BV9" s="89"/>
      <c r="BW9" s="90"/>
      <c r="BX9" s="108" t="str">
        <f t="shared" si="28"/>
        <v>0h 00m</v>
      </c>
      <c r="BY9" s="91"/>
      <c r="BZ9" s="146"/>
      <c r="CA9" s="96"/>
      <c r="CB9" s="86" t="str">
        <f t="shared" si="29"/>
        <v>0h 00m</v>
      </c>
      <c r="CC9" s="88"/>
      <c r="CD9" s="89"/>
      <c r="CE9" s="90"/>
      <c r="CF9" s="86" t="str">
        <f t="shared" si="9"/>
        <v>0h 00m</v>
      </c>
      <c r="CG9" s="91"/>
      <c r="CH9" s="95"/>
      <c r="CI9" s="96"/>
      <c r="CJ9" s="86" t="str">
        <f t="shared" si="30"/>
        <v>0h 00m</v>
      </c>
      <c r="CK9" s="88"/>
      <c r="CL9" s="89"/>
      <c r="CM9" s="90"/>
      <c r="CN9" s="86" t="str">
        <f t="shared" si="31"/>
        <v>0h 00m</v>
      </c>
      <c r="CO9" s="88"/>
      <c r="CP9" s="95"/>
      <c r="CQ9" s="96"/>
      <c r="CR9" s="86" t="str">
        <f t="shared" si="32"/>
        <v>0h 00m</v>
      </c>
      <c r="CS9" s="88"/>
      <c r="CT9" s="94"/>
      <c r="CU9" s="94"/>
    </row>
    <row r="10" spans="1:99" ht="15" thickBot="1" x14ac:dyDescent="0.35">
      <c r="A10" s="2" t="s">
        <v>40</v>
      </c>
      <c r="B10" s="129">
        <v>0.3034722222222222</v>
      </c>
      <c r="C10" s="130">
        <v>0.67986111111111114</v>
      </c>
      <c r="D10" s="8" t="str">
        <f t="shared" si="13"/>
        <v>9h 02m</v>
      </c>
      <c r="E10" s="46"/>
      <c r="F10" s="129">
        <v>0.30208333333333331</v>
      </c>
      <c r="G10" s="130">
        <v>0.67708333333333337</v>
      </c>
      <c r="H10" s="8" t="str">
        <f t="shared" si="14"/>
        <v>9h 00m</v>
      </c>
      <c r="I10" s="170"/>
      <c r="J10" s="129">
        <v>0.30208333333333331</v>
      </c>
      <c r="K10" s="130">
        <v>0.67708333333333337</v>
      </c>
      <c r="L10" s="182" t="str">
        <f t="shared" si="0"/>
        <v>9h 00m</v>
      </c>
      <c r="M10" s="194"/>
      <c r="N10" s="143">
        <v>0.26874999999999999</v>
      </c>
      <c r="O10" s="10">
        <v>0.70208333333333328</v>
      </c>
      <c r="P10" s="8" t="str">
        <f t="shared" si="15"/>
        <v>10h 24m</v>
      </c>
      <c r="Q10" s="17"/>
      <c r="R10" s="16">
        <v>0.26944444444444443</v>
      </c>
      <c r="S10" s="10">
        <v>0.67847222222222225</v>
      </c>
      <c r="T10" s="9" t="str">
        <f t="shared" si="23"/>
        <v>9h 49m</v>
      </c>
      <c r="U10" s="51"/>
      <c r="V10" s="20"/>
      <c r="W10" s="12"/>
      <c r="X10" s="9" t="str">
        <f t="shared" si="16"/>
        <v>0h 00m</v>
      </c>
      <c r="Y10" s="53"/>
      <c r="Z10" s="200"/>
      <c r="AA10" s="9"/>
      <c r="AB10" s="9" t="str">
        <f t="shared" si="17"/>
        <v>0h 00m</v>
      </c>
      <c r="AC10" s="18"/>
      <c r="AD10" s="16">
        <v>0.29166666666666669</v>
      </c>
      <c r="AE10" s="10">
        <v>0.6791666666666667</v>
      </c>
      <c r="AF10" s="9" t="str">
        <f t="shared" si="18"/>
        <v>9h 18m</v>
      </c>
      <c r="AG10" s="18"/>
      <c r="AH10" s="16">
        <v>0.29305555555555557</v>
      </c>
      <c r="AI10" s="10">
        <v>0.67777777777777781</v>
      </c>
      <c r="AJ10" s="9" t="str">
        <f t="shared" si="19"/>
        <v>9h 14m</v>
      </c>
      <c r="AK10" s="18"/>
      <c r="AL10" s="16">
        <v>0.29236111111111113</v>
      </c>
      <c r="AM10" s="10">
        <v>0.6958333333333333</v>
      </c>
      <c r="AN10" s="9" t="str">
        <f t="shared" si="20"/>
        <v>9h 41m</v>
      </c>
      <c r="AO10" s="18"/>
      <c r="AP10" s="16">
        <v>0.2951388888888889</v>
      </c>
      <c r="AQ10" s="10">
        <v>0.67847222222222225</v>
      </c>
      <c r="AR10" s="9" t="str">
        <f t="shared" si="21"/>
        <v>9h 12m</v>
      </c>
      <c r="AS10" s="51"/>
      <c r="AT10" s="20"/>
      <c r="AU10" s="12"/>
      <c r="AV10" s="12" t="str">
        <f t="shared" si="1"/>
        <v>0h 00m</v>
      </c>
      <c r="AW10" s="53"/>
      <c r="AX10" s="143">
        <v>0.29166666666666669</v>
      </c>
      <c r="AY10" s="10">
        <v>0.67847222222222225</v>
      </c>
      <c r="AZ10" s="9" t="str">
        <f t="shared" si="22"/>
        <v>9h 17m</v>
      </c>
      <c r="BA10" s="51"/>
      <c r="BB10" s="20"/>
      <c r="BC10" s="12"/>
      <c r="BD10" s="55" t="str">
        <f t="shared" si="2"/>
        <v>0h 00m</v>
      </c>
      <c r="BE10" s="53"/>
      <c r="BF10" s="143">
        <v>0.2986111111111111</v>
      </c>
      <c r="BG10" s="10">
        <v>0.68055555555555558</v>
      </c>
      <c r="BH10" s="9" t="str">
        <f t="shared" si="24"/>
        <v>9h 10m</v>
      </c>
      <c r="BI10" s="18"/>
      <c r="BJ10" s="16">
        <v>0.30208333333333331</v>
      </c>
      <c r="BK10" s="10">
        <v>0.6791666666666667</v>
      </c>
      <c r="BL10" s="9" t="str">
        <f>TEXT(BK10-BJ10,"h""h ""mm""m""")</f>
        <v>9h 03m</v>
      </c>
      <c r="BM10" s="18"/>
      <c r="BN10" s="16">
        <v>0.29722222222222222</v>
      </c>
      <c r="BO10" s="10">
        <v>0.67777777777777781</v>
      </c>
      <c r="BP10" s="9" t="str">
        <f t="shared" si="26"/>
        <v>9h 08m</v>
      </c>
      <c r="BQ10" s="18"/>
      <c r="BR10" s="16">
        <v>0.29930555555555555</v>
      </c>
      <c r="BS10" s="10">
        <v>0.67708333333333337</v>
      </c>
      <c r="BT10" s="9" t="str">
        <f t="shared" si="27"/>
        <v>9h 04m</v>
      </c>
      <c r="BU10" s="51"/>
      <c r="BV10" s="16"/>
      <c r="BW10" s="10"/>
      <c r="BX10" s="36" t="str">
        <f t="shared" si="28"/>
        <v>0h 00m</v>
      </c>
      <c r="BY10" s="53"/>
      <c r="BZ10" s="143">
        <v>0.29652777777777778</v>
      </c>
      <c r="CA10" s="10">
        <v>0.67847222222222225</v>
      </c>
      <c r="CB10" s="9" t="str">
        <f t="shared" si="29"/>
        <v>9h 10m</v>
      </c>
      <c r="CC10" s="18"/>
      <c r="CD10" s="16">
        <v>0.2638888888888889</v>
      </c>
      <c r="CE10" s="10">
        <v>0.67708333333333337</v>
      </c>
      <c r="CF10" s="9" t="str">
        <f t="shared" si="9"/>
        <v>9h 55m</v>
      </c>
      <c r="CG10" s="53"/>
      <c r="CH10" s="16"/>
      <c r="CI10" s="10"/>
      <c r="CJ10" s="9" t="str">
        <f t="shared" si="30"/>
        <v>0h 00m</v>
      </c>
      <c r="CK10" s="18"/>
      <c r="CL10" s="16"/>
      <c r="CM10" s="10"/>
      <c r="CN10" s="9" t="str">
        <f t="shared" si="31"/>
        <v>0h 00m</v>
      </c>
      <c r="CO10" s="18"/>
      <c r="CP10" s="16">
        <v>0.29305555555555557</v>
      </c>
      <c r="CQ10" s="10">
        <v>0.67847222222222225</v>
      </c>
      <c r="CR10" s="9" t="str">
        <f t="shared" si="32"/>
        <v>9h 15m</v>
      </c>
      <c r="CS10" s="18"/>
      <c r="CT10" s="22"/>
      <c r="CU10" s="22"/>
    </row>
    <row r="11" spans="1:99" ht="15" thickBot="1" x14ac:dyDescent="0.35">
      <c r="A11" s="2" t="s">
        <v>41</v>
      </c>
      <c r="B11" s="129">
        <v>0.30138888888888887</v>
      </c>
      <c r="C11" s="130">
        <v>0.68263888888888891</v>
      </c>
      <c r="D11" s="8" t="str">
        <f t="shared" si="13"/>
        <v>9h 09m</v>
      </c>
      <c r="E11" s="46"/>
      <c r="F11" s="129">
        <v>0.30208333333333331</v>
      </c>
      <c r="G11" s="130">
        <v>0.68194444444444446</v>
      </c>
      <c r="H11" s="8" t="str">
        <f t="shared" si="14"/>
        <v>9h 07m</v>
      </c>
      <c r="I11" s="170"/>
      <c r="J11" s="129">
        <v>0.30208333333333331</v>
      </c>
      <c r="K11" s="130">
        <v>0.67708333333333337</v>
      </c>
      <c r="L11" s="182" t="str">
        <f t="shared" si="0"/>
        <v>9h 00m</v>
      </c>
      <c r="M11" s="194"/>
      <c r="N11" s="143">
        <v>0.27013888888888887</v>
      </c>
      <c r="O11" s="10">
        <v>0.69374999999999998</v>
      </c>
      <c r="P11" s="8" t="str">
        <f t="shared" si="15"/>
        <v>10h 10m</v>
      </c>
      <c r="Q11" s="17"/>
      <c r="R11" s="154" t="s">
        <v>69</v>
      </c>
      <c r="S11" s="155" t="s">
        <v>64</v>
      </c>
      <c r="T11" s="9" t="str">
        <f>$T$2</f>
        <v>0h 00m</v>
      </c>
      <c r="U11" s="51" t="s">
        <v>70</v>
      </c>
      <c r="V11" s="20"/>
      <c r="W11" s="12"/>
      <c r="X11" s="9" t="str">
        <f t="shared" si="16"/>
        <v>0h 00m</v>
      </c>
      <c r="Y11" s="53"/>
      <c r="Z11" s="200"/>
      <c r="AA11" s="9"/>
      <c r="AB11" s="9" t="str">
        <f t="shared" si="17"/>
        <v>0h 00m</v>
      </c>
      <c r="AC11" s="18"/>
      <c r="AD11" s="16">
        <v>0.28888888888888886</v>
      </c>
      <c r="AE11" s="10">
        <v>0.67986111111111114</v>
      </c>
      <c r="AF11" s="9" t="str">
        <f t="shared" si="18"/>
        <v>9h 23m</v>
      </c>
      <c r="AG11" s="18"/>
      <c r="AH11" s="16">
        <v>0.29722222222222222</v>
      </c>
      <c r="AI11" s="10">
        <v>0.67708333333333337</v>
      </c>
      <c r="AJ11" s="9" t="str">
        <f t="shared" si="19"/>
        <v>9h 07m</v>
      </c>
      <c r="AK11" s="18"/>
      <c r="AL11" s="16">
        <v>0.29444444444444445</v>
      </c>
      <c r="AM11" s="10">
        <v>0.68125000000000002</v>
      </c>
      <c r="AN11" s="9" t="str">
        <f t="shared" si="20"/>
        <v>9h 17m</v>
      </c>
      <c r="AO11" s="18"/>
      <c r="AP11" s="16">
        <v>0.29097222222222224</v>
      </c>
      <c r="AQ11" s="10">
        <v>0.67986111111111114</v>
      </c>
      <c r="AR11" s="9" t="str">
        <f t="shared" si="21"/>
        <v>9h 20m</v>
      </c>
      <c r="AS11" s="51"/>
      <c r="AT11" s="20"/>
      <c r="AU11" s="12"/>
      <c r="AV11" s="12" t="str">
        <f t="shared" si="1"/>
        <v>0h 00m</v>
      </c>
      <c r="AW11" s="53"/>
      <c r="AX11" s="143">
        <v>0.29166666666666669</v>
      </c>
      <c r="AY11" s="10">
        <v>0.67777777777777781</v>
      </c>
      <c r="AZ11" s="9" t="str">
        <f t="shared" si="22"/>
        <v>9h 16m</v>
      </c>
      <c r="BA11" s="51"/>
      <c r="BB11" s="20"/>
      <c r="BC11" s="12"/>
      <c r="BD11" s="55" t="str">
        <f t="shared" si="2"/>
        <v>0h 00m</v>
      </c>
      <c r="BE11" s="53"/>
      <c r="BF11" s="143">
        <v>0.30277777777777776</v>
      </c>
      <c r="BG11" s="10">
        <v>0.68194444444444446</v>
      </c>
      <c r="BH11" s="9" t="str">
        <f t="shared" si="24"/>
        <v>9h 06m</v>
      </c>
      <c r="BI11" s="18"/>
      <c r="BJ11" s="16">
        <v>0.30208333333333331</v>
      </c>
      <c r="BK11" s="10">
        <v>0.68263888888888891</v>
      </c>
      <c r="BL11" s="9" t="str">
        <f t="shared" si="25"/>
        <v>9h 08m</v>
      </c>
      <c r="BM11" s="18"/>
      <c r="BN11" s="16">
        <v>0.29722222222222222</v>
      </c>
      <c r="BO11" s="10">
        <v>0.6791666666666667</v>
      </c>
      <c r="BP11" s="9" t="str">
        <f t="shared" si="26"/>
        <v>9h 10m</v>
      </c>
      <c r="BQ11" s="18"/>
      <c r="BR11" s="16">
        <v>0.3</v>
      </c>
      <c r="BS11" s="10">
        <v>0.67708333333333337</v>
      </c>
      <c r="BT11" s="9" t="str">
        <f t="shared" si="27"/>
        <v>9h 03m</v>
      </c>
      <c r="BU11" s="51"/>
      <c r="BV11" s="16"/>
      <c r="BW11" s="10"/>
      <c r="BX11" s="36" t="str">
        <f t="shared" si="28"/>
        <v>0h 00m</v>
      </c>
      <c r="BY11" s="53"/>
      <c r="BZ11" s="143">
        <v>0.29583333333333334</v>
      </c>
      <c r="CA11" s="10">
        <v>0.6791666666666667</v>
      </c>
      <c r="CB11" s="9" t="str">
        <f t="shared" si="29"/>
        <v>9h 12m</v>
      </c>
      <c r="CC11" s="18"/>
      <c r="CD11" s="16">
        <v>0.27083333333333331</v>
      </c>
      <c r="CE11" s="10">
        <v>0.67708333333333337</v>
      </c>
      <c r="CF11" s="9" t="str">
        <f t="shared" si="9"/>
        <v>9h 45m</v>
      </c>
      <c r="CG11" s="53"/>
      <c r="CH11" s="16"/>
      <c r="CI11" s="10"/>
      <c r="CJ11" s="9" t="str">
        <f t="shared" si="30"/>
        <v>0h 00m</v>
      </c>
      <c r="CK11" s="18"/>
      <c r="CL11" s="16">
        <v>0.30763888888888891</v>
      </c>
      <c r="CM11" s="10">
        <v>0.68333333333333335</v>
      </c>
      <c r="CN11" s="9" t="str">
        <f t="shared" si="31"/>
        <v>9h 01m</v>
      </c>
      <c r="CO11" s="18"/>
      <c r="CP11" s="16">
        <v>0.29652777777777778</v>
      </c>
      <c r="CQ11" s="10">
        <v>0.67847222222222225</v>
      </c>
      <c r="CR11" s="9" t="str">
        <f t="shared" si="32"/>
        <v>9h 10m</v>
      </c>
      <c r="CS11" s="18"/>
      <c r="CT11" s="22"/>
      <c r="CU11" s="22"/>
    </row>
    <row r="12" spans="1:99" ht="15" thickBot="1" x14ac:dyDescent="0.35">
      <c r="A12" s="2" t="s">
        <v>42</v>
      </c>
      <c r="B12" s="129">
        <v>0.30486111111111114</v>
      </c>
      <c r="C12" s="130">
        <v>0.6791666666666667</v>
      </c>
      <c r="D12" s="8" t="str">
        <f t="shared" si="13"/>
        <v>8h 59m</v>
      </c>
      <c r="E12" s="46"/>
      <c r="F12" s="129">
        <v>0.30277777777777776</v>
      </c>
      <c r="G12" s="130">
        <v>0.67986111111111114</v>
      </c>
      <c r="H12" s="8" t="str">
        <f t="shared" si="14"/>
        <v>9h 03m</v>
      </c>
      <c r="I12" s="170"/>
      <c r="J12" s="129">
        <v>0.30208333333333331</v>
      </c>
      <c r="K12" s="130">
        <v>0.67708333333333337</v>
      </c>
      <c r="L12" s="182" t="str">
        <f t="shared" si="0"/>
        <v>9h 00m</v>
      </c>
      <c r="M12" s="194"/>
      <c r="N12" s="143">
        <v>0.29236111111111113</v>
      </c>
      <c r="O12" s="10">
        <v>0.7</v>
      </c>
      <c r="P12" s="8" t="str">
        <f t="shared" si="15"/>
        <v>9h 47m</v>
      </c>
      <c r="Q12" s="17"/>
      <c r="R12" s="16">
        <v>0.28055555555555556</v>
      </c>
      <c r="S12" s="153">
        <v>0.6958333333333333</v>
      </c>
      <c r="T12" s="9" t="str">
        <f t="shared" si="23"/>
        <v>9h 58m</v>
      </c>
      <c r="U12" s="51"/>
      <c r="V12" s="20"/>
      <c r="W12" s="12"/>
      <c r="X12" s="9" t="str">
        <f t="shared" si="16"/>
        <v>0h 00m</v>
      </c>
      <c r="Y12" s="53"/>
      <c r="Z12" s="200"/>
      <c r="AA12" s="9"/>
      <c r="AB12" s="9" t="str">
        <f t="shared" si="17"/>
        <v>0h 00m</v>
      </c>
      <c r="AC12" s="18"/>
      <c r="AD12" s="16">
        <v>0.29166666666666669</v>
      </c>
      <c r="AE12" s="10">
        <v>0.68125000000000002</v>
      </c>
      <c r="AF12" s="9" t="str">
        <f t="shared" si="18"/>
        <v>9h 21m</v>
      </c>
      <c r="AG12" s="18"/>
      <c r="AH12" s="16">
        <v>0.29444444444444445</v>
      </c>
      <c r="AI12" s="10">
        <v>0.67777777777777781</v>
      </c>
      <c r="AJ12" s="9" t="str">
        <f t="shared" si="19"/>
        <v>9h 12m</v>
      </c>
      <c r="AK12" s="18"/>
      <c r="AL12" s="16">
        <v>0.2951388888888889</v>
      </c>
      <c r="AM12" s="10">
        <v>0.68333333333333335</v>
      </c>
      <c r="AN12" s="9" t="str">
        <f t="shared" si="20"/>
        <v>9h 19m</v>
      </c>
      <c r="AO12" s="18"/>
      <c r="AP12" s="16">
        <v>0.28472222222222221</v>
      </c>
      <c r="AQ12" s="10">
        <v>0.67708333333333337</v>
      </c>
      <c r="AR12" s="9" t="str">
        <f t="shared" si="21"/>
        <v>9h 25m</v>
      </c>
      <c r="AS12" s="51"/>
      <c r="AT12" s="16">
        <v>0.30694444444444446</v>
      </c>
      <c r="AU12" s="12"/>
      <c r="AV12" s="12" t="e">
        <f t="shared" si="1"/>
        <v>#VALUE!</v>
      </c>
      <c r="AW12" s="53"/>
      <c r="AX12" s="143">
        <v>0.30208333333333331</v>
      </c>
      <c r="AY12" s="10">
        <v>0.67777777777777781</v>
      </c>
      <c r="AZ12" s="9" t="str">
        <f t="shared" si="22"/>
        <v>9h 01m</v>
      </c>
      <c r="BA12" s="51"/>
      <c r="BB12" s="20"/>
      <c r="BC12" s="12"/>
      <c r="BD12" s="55" t="str">
        <f t="shared" si="2"/>
        <v>0h 00m</v>
      </c>
      <c r="BE12" s="53"/>
      <c r="BF12" s="143">
        <v>0.29791666666666666</v>
      </c>
      <c r="BG12" s="10">
        <v>0.68194444444444446</v>
      </c>
      <c r="BH12" s="9" t="str">
        <f t="shared" si="24"/>
        <v>9h 13m</v>
      </c>
      <c r="BI12" s="18"/>
      <c r="BJ12" s="16">
        <v>0.30208333333333331</v>
      </c>
      <c r="BK12" s="10">
        <v>0.67708333333333337</v>
      </c>
      <c r="BL12" s="9" t="str">
        <f>TEXT(BK12-BJ12,"h""h ""mm""m""")</f>
        <v>9h 00m</v>
      </c>
      <c r="BM12" s="18"/>
      <c r="BN12" s="16">
        <v>0.29722222222222222</v>
      </c>
      <c r="BO12" s="10">
        <v>0.67777777777777781</v>
      </c>
      <c r="BP12" s="9" t="str">
        <f t="shared" si="26"/>
        <v>9h 08m</v>
      </c>
      <c r="BQ12" s="18"/>
      <c r="BR12" s="16">
        <v>0.30208333333333331</v>
      </c>
      <c r="BS12" s="10">
        <v>0.67708333333333337</v>
      </c>
      <c r="BT12" s="9" t="str">
        <f t="shared" si="27"/>
        <v>9h 00m</v>
      </c>
      <c r="BU12" s="51"/>
      <c r="BV12" s="16"/>
      <c r="BW12" s="10"/>
      <c r="BX12" s="36" t="str">
        <f t="shared" si="28"/>
        <v>0h 00m</v>
      </c>
      <c r="BY12" s="53"/>
      <c r="BZ12" s="143">
        <v>0.29375000000000001</v>
      </c>
      <c r="CA12" s="10">
        <v>0.67777777777777781</v>
      </c>
      <c r="CB12" s="9" t="str">
        <f t="shared" si="29"/>
        <v>9h 13m</v>
      </c>
      <c r="CC12" s="18"/>
      <c r="CD12" s="16">
        <v>0.27083333333333331</v>
      </c>
      <c r="CE12" s="10">
        <v>0.67708333333333337</v>
      </c>
      <c r="CF12" s="9" t="str">
        <f t="shared" si="9"/>
        <v>9h 45m</v>
      </c>
      <c r="CG12" s="53"/>
      <c r="CH12" s="16"/>
      <c r="CI12" s="10"/>
      <c r="CJ12" s="9" t="str">
        <f t="shared" si="30"/>
        <v>0h 00m</v>
      </c>
      <c r="CK12" s="18"/>
      <c r="CL12" s="16"/>
      <c r="CM12" s="10"/>
      <c r="CN12" s="9" t="str">
        <f t="shared" si="31"/>
        <v>0h 00m</v>
      </c>
      <c r="CO12" s="18"/>
      <c r="CP12" s="16">
        <v>0.29444444444444445</v>
      </c>
      <c r="CQ12" s="10">
        <v>0.67777777777777781</v>
      </c>
      <c r="CR12" s="9" t="str">
        <f t="shared" si="32"/>
        <v>9h 12m</v>
      </c>
      <c r="CS12" s="18"/>
      <c r="CT12" s="22"/>
      <c r="CU12" s="24"/>
    </row>
    <row r="13" spans="1:99" ht="15" thickBot="1" x14ac:dyDescent="0.35">
      <c r="A13" s="2" t="s">
        <v>43</v>
      </c>
      <c r="B13" s="137">
        <v>0.40277777777777779</v>
      </c>
      <c r="C13" s="141">
        <v>0.68333333333333335</v>
      </c>
      <c r="D13" s="8" t="str">
        <f t="shared" si="13"/>
        <v>6h 44m</v>
      </c>
      <c r="E13" s="46"/>
      <c r="F13" s="129">
        <v>0.3</v>
      </c>
      <c r="G13" s="130">
        <v>0.68263888888888891</v>
      </c>
      <c r="H13" s="8" t="str">
        <f t="shared" si="14"/>
        <v>9h 11m</v>
      </c>
      <c r="I13" s="170"/>
      <c r="J13" s="129">
        <v>0.30208333333333331</v>
      </c>
      <c r="K13" s="130">
        <v>0.67708333333333337</v>
      </c>
      <c r="L13" s="182" t="str">
        <f t="shared" si="0"/>
        <v>9h 00m</v>
      </c>
      <c r="M13" s="194"/>
      <c r="N13" s="143">
        <v>0.29583333333333334</v>
      </c>
      <c r="O13" s="10">
        <v>0.70972222222222225</v>
      </c>
      <c r="P13" s="8" t="str">
        <f t="shared" si="15"/>
        <v>9h 56m</v>
      </c>
      <c r="Q13" s="17"/>
      <c r="R13" s="16">
        <v>0.26874999999999999</v>
      </c>
      <c r="S13" s="10">
        <v>0.68194444444444446</v>
      </c>
      <c r="T13" s="9" t="str">
        <f t="shared" si="23"/>
        <v>9h 55m</v>
      </c>
      <c r="U13" s="51"/>
      <c r="V13" s="20"/>
      <c r="W13" s="12"/>
      <c r="X13" s="9" t="str">
        <f>TEXT(W13-V13,"h""h ""mm""m""")</f>
        <v>0h 00m</v>
      </c>
      <c r="Y13" s="18"/>
      <c r="Z13" s="200"/>
      <c r="AA13" s="9"/>
      <c r="AB13" s="9" t="str">
        <f t="shared" si="17"/>
        <v>0h 00m</v>
      </c>
      <c r="AC13" s="18"/>
      <c r="AD13" s="16">
        <v>0.29652777777777778</v>
      </c>
      <c r="AE13" s="10">
        <v>0.68125000000000002</v>
      </c>
      <c r="AF13" s="9" t="str">
        <f t="shared" si="18"/>
        <v>9h 14m</v>
      </c>
      <c r="AG13" s="18"/>
      <c r="AH13" s="16">
        <v>0.29375000000000001</v>
      </c>
      <c r="AI13" s="10">
        <v>0.67847222222222225</v>
      </c>
      <c r="AJ13" s="9" t="str">
        <f t="shared" si="19"/>
        <v>9h 14m</v>
      </c>
      <c r="AK13" s="18"/>
      <c r="AL13" s="16">
        <v>0.29444444444444445</v>
      </c>
      <c r="AM13" s="10">
        <v>0.68194444444444446</v>
      </c>
      <c r="AN13" s="9" t="str">
        <f t="shared" si="20"/>
        <v>9h 18m</v>
      </c>
      <c r="AO13" s="18"/>
      <c r="AP13" s="16">
        <v>0.29375000000000001</v>
      </c>
      <c r="AQ13" s="10">
        <v>0.67777777777777781</v>
      </c>
      <c r="AR13" s="9" t="str">
        <f t="shared" si="21"/>
        <v>9h 13m</v>
      </c>
      <c r="AS13" s="51"/>
      <c r="AT13" s="20"/>
      <c r="AU13" s="12"/>
      <c r="AV13" s="12" t="str">
        <f t="shared" si="1"/>
        <v>0h 00m</v>
      </c>
      <c r="AW13" s="53"/>
      <c r="AX13" s="143">
        <v>0.3</v>
      </c>
      <c r="AY13" s="10">
        <v>0.67708333333333337</v>
      </c>
      <c r="AZ13" s="9" t="str">
        <f t="shared" si="22"/>
        <v>9h 03m</v>
      </c>
      <c r="BA13" s="51"/>
      <c r="BB13" s="20"/>
      <c r="BC13" s="12"/>
      <c r="BD13" s="55" t="str">
        <f t="shared" si="2"/>
        <v>0h 00m</v>
      </c>
      <c r="BE13" s="53"/>
      <c r="BF13" s="143">
        <v>0.2986111111111111</v>
      </c>
      <c r="BG13" s="10">
        <v>0.68333333333333335</v>
      </c>
      <c r="BH13" s="9" t="str">
        <f t="shared" si="24"/>
        <v>9h 14m</v>
      </c>
      <c r="BI13" s="18"/>
      <c r="BJ13" s="16">
        <v>0.29166666666666669</v>
      </c>
      <c r="BK13" s="10">
        <v>0.6875</v>
      </c>
      <c r="BL13" s="9" t="str">
        <f t="shared" si="25"/>
        <v>9h 30m</v>
      </c>
      <c r="BM13" s="18"/>
      <c r="BN13" s="16">
        <v>0.29791666666666666</v>
      </c>
      <c r="BO13" s="10">
        <v>0.67777777777777781</v>
      </c>
      <c r="BP13" s="9" t="str">
        <f t="shared" si="26"/>
        <v>9h 07m</v>
      </c>
      <c r="BQ13" s="18"/>
      <c r="BR13" s="156" t="s">
        <v>63</v>
      </c>
      <c r="BS13" s="157" t="s">
        <v>64</v>
      </c>
      <c r="BT13" s="9" t="str">
        <f>$T$2</f>
        <v>0h 00m</v>
      </c>
      <c r="BU13" s="51" t="s">
        <v>71</v>
      </c>
      <c r="BV13" s="16">
        <v>0.30208333333333331</v>
      </c>
      <c r="BW13" s="10">
        <v>0.67708333333333337</v>
      </c>
      <c r="BX13" s="36" t="str">
        <f t="shared" si="28"/>
        <v>9h 00m</v>
      </c>
      <c r="BY13" s="53"/>
      <c r="BZ13" s="143">
        <v>0.2951388888888889</v>
      </c>
      <c r="CA13" s="10">
        <v>0.67777777777777781</v>
      </c>
      <c r="CB13" s="9" t="str">
        <f t="shared" si="29"/>
        <v>9h 11m</v>
      </c>
      <c r="CC13" s="18"/>
      <c r="CD13" s="16">
        <v>0.27083333333333331</v>
      </c>
      <c r="CE13" s="10">
        <v>0.67708333333333337</v>
      </c>
      <c r="CF13" s="9" t="str">
        <f t="shared" si="9"/>
        <v>9h 45m</v>
      </c>
      <c r="CG13" s="53"/>
      <c r="CH13" s="16"/>
      <c r="CI13" s="10"/>
      <c r="CJ13" s="9" t="str">
        <f t="shared" si="30"/>
        <v>0h 00m</v>
      </c>
      <c r="CK13" s="18"/>
      <c r="CL13" s="16">
        <v>0.30208333333333331</v>
      </c>
      <c r="CM13" s="10">
        <v>0.68402777777777779</v>
      </c>
      <c r="CN13" s="9" t="str">
        <f t="shared" si="31"/>
        <v>9h 10m</v>
      </c>
      <c r="CO13" s="18"/>
      <c r="CP13" s="16">
        <v>0.2951388888888889</v>
      </c>
      <c r="CQ13" s="10">
        <v>0.67847222222222225</v>
      </c>
      <c r="CR13" s="9" t="str">
        <f t="shared" si="32"/>
        <v>9h 12m</v>
      </c>
      <c r="CS13" s="18"/>
      <c r="CT13" s="22"/>
      <c r="CU13" s="22"/>
    </row>
    <row r="14" spans="1:99" s="26" customFormat="1" ht="15" thickBot="1" x14ac:dyDescent="0.35">
      <c r="A14" s="3" t="s">
        <v>44</v>
      </c>
      <c r="B14" s="137">
        <v>0.30138888888888887</v>
      </c>
      <c r="C14" s="141">
        <v>0.68333333333333335</v>
      </c>
      <c r="D14" s="8" t="str">
        <f t="shared" si="13"/>
        <v>9h 10m</v>
      </c>
      <c r="E14" s="47"/>
      <c r="F14" s="137">
        <v>0.30069444444444443</v>
      </c>
      <c r="G14" s="141">
        <v>0.68263888888888891</v>
      </c>
      <c r="H14" s="8" t="str">
        <f t="shared" si="14"/>
        <v>9h 10m</v>
      </c>
      <c r="I14" s="171"/>
      <c r="J14" s="129">
        <v>0.30208333333333331</v>
      </c>
      <c r="K14" s="130">
        <v>0.67708333333333337</v>
      </c>
      <c r="L14" s="182" t="str">
        <f t="shared" si="0"/>
        <v>9h 00m</v>
      </c>
      <c r="M14" s="195"/>
      <c r="N14" s="143">
        <v>0.30277777777777776</v>
      </c>
      <c r="O14" s="10">
        <v>0.74652777777777779</v>
      </c>
      <c r="P14" s="8" t="str">
        <f t="shared" si="15"/>
        <v>10h 39m</v>
      </c>
      <c r="Q14" s="17"/>
      <c r="R14" s="16">
        <v>0.2722222222222222</v>
      </c>
      <c r="S14" s="10">
        <v>0.6791666666666667</v>
      </c>
      <c r="T14" s="9" t="str">
        <f t="shared" si="23"/>
        <v>9h 46m</v>
      </c>
      <c r="U14" s="51"/>
      <c r="V14" s="20"/>
      <c r="W14" s="12"/>
      <c r="X14" s="9" t="str">
        <f t="shared" ref="X14:X32" si="33">TEXT(W14-V14,"h""h ""mm""m""")</f>
        <v>0h 00m</v>
      </c>
      <c r="Y14" s="53"/>
      <c r="Z14" s="200"/>
      <c r="AA14" s="9"/>
      <c r="AB14" s="9" t="str">
        <f t="shared" si="17"/>
        <v>0h 00m</v>
      </c>
      <c r="AC14" s="18"/>
      <c r="AD14" s="16">
        <v>0.29652777777777778</v>
      </c>
      <c r="AE14" s="10">
        <v>0.67986111111111114</v>
      </c>
      <c r="AF14" s="9" t="str">
        <f t="shared" si="18"/>
        <v>9h 12m</v>
      </c>
      <c r="AG14" s="18"/>
      <c r="AH14" s="16">
        <v>0.29791666666666666</v>
      </c>
      <c r="AI14" s="10">
        <v>0.67847222222222225</v>
      </c>
      <c r="AJ14" s="9" t="str">
        <f t="shared" si="19"/>
        <v>9h 08m</v>
      </c>
      <c r="AK14" s="18"/>
      <c r="AL14" s="16">
        <v>0.3</v>
      </c>
      <c r="AM14" s="10">
        <v>0.67708333333333337</v>
      </c>
      <c r="AN14" s="9" t="str">
        <f t="shared" si="20"/>
        <v>9h 03m</v>
      </c>
      <c r="AO14" s="18"/>
      <c r="AP14" s="16">
        <v>0.30208333333333331</v>
      </c>
      <c r="AQ14" s="12"/>
      <c r="AR14" s="9" t="str">
        <f>$T$2</f>
        <v>0h 00m</v>
      </c>
      <c r="AS14" s="51"/>
      <c r="AT14" s="20"/>
      <c r="AU14" s="12"/>
      <c r="AV14" s="12" t="str">
        <f t="shared" si="1"/>
        <v>0h 00m</v>
      </c>
      <c r="AW14" s="53"/>
      <c r="AX14" s="158" t="s">
        <v>73</v>
      </c>
      <c r="AY14" s="159" t="s">
        <v>64</v>
      </c>
      <c r="AZ14" s="9" t="str">
        <f>$T$2</f>
        <v>0h 00m</v>
      </c>
      <c r="BA14" s="51" t="s">
        <v>72</v>
      </c>
      <c r="BB14" s="20"/>
      <c r="BC14" s="12"/>
      <c r="BD14" s="55" t="str">
        <f t="shared" si="2"/>
        <v>0h 00m</v>
      </c>
      <c r="BE14" s="53"/>
      <c r="BF14" s="143">
        <v>0.29791666666666666</v>
      </c>
      <c r="BG14" s="10">
        <v>0.68055555555555558</v>
      </c>
      <c r="BH14" s="9" t="str">
        <f t="shared" si="24"/>
        <v>9h 11m</v>
      </c>
      <c r="BI14" s="18"/>
      <c r="BJ14" s="16">
        <v>0.29166666666666669</v>
      </c>
      <c r="BK14" s="10">
        <v>0.6791666666666667</v>
      </c>
      <c r="BL14" s="9" t="str">
        <f t="shared" si="25"/>
        <v>9h 18m</v>
      </c>
      <c r="BM14" s="18"/>
      <c r="BN14" s="16">
        <v>0.29722222222222222</v>
      </c>
      <c r="BO14" s="10">
        <v>0.67847222222222225</v>
      </c>
      <c r="BP14" s="9" t="str">
        <f t="shared" si="26"/>
        <v>9h 09m</v>
      </c>
      <c r="BQ14" s="18"/>
      <c r="BR14" s="16">
        <v>0.3</v>
      </c>
      <c r="BS14" s="10">
        <v>0.6791666666666667</v>
      </c>
      <c r="BT14" s="9" t="str">
        <f t="shared" si="27"/>
        <v>9h 06m</v>
      </c>
      <c r="BU14" s="51"/>
      <c r="BV14" s="16">
        <v>0.30208333333333331</v>
      </c>
      <c r="BW14" s="10">
        <v>0.67708333333333337</v>
      </c>
      <c r="BX14" s="36" t="str">
        <f t="shared" si="28"/>
        <v>9h 00m</v>
      </c>
      <c r="BY14" s="53"/>
      <c r="BZ14" s="143">
        <v>0.29583333333333334</v>
      </c>
      <c r="CA14" s="10">
        <v>0.6791666666666667</v>
      </c>
      <c r="CB14" s="9" t="str">
        <f t="shared" si="29"/>
        <v>9h 12m</v>
      </c>
      <c r="CC14" s="18"/>
      <c r="CD14" s="16">
        <v>0.27083333333333331</v>
      </c>
      <c r="CE14" s="10">
        <v>0.67708333333333337</v>
      </c>
      <c r="CF14" s="9" t="str">
        <f t="shared" si="9"/>
        <v>9h 45m</v>
      </c>
      <c r="CG14" s="53"/>
      <c r="CH14" s="20"/>
      <c r="CI14" s="12"/>
      <c r="CJ14" s="9" t="str">
        <f t="shared" si="30"/>
        <v>0h 00m</v>
      </c>
      <c r="CK14" s="18"/>
      <c r="CL14" s="20"/>
      <c r="CM14" s="12"/>
      <c r="CN14" s="9" t="str">
        <f t="shared" si="31"/>
        <v>0h 00m</v>
      </c>
      <c r="CO14" s="18"/>
      <c r="CP14" s="16">
        <v>0.29166666666666669</v>
      </c>
      <c r="CQ14" s="10">
        <v>0.67847222222222225</v>
      </c>
      <c r="CR14" s="9" t="str">
        <f t="shared" si="32"/>
        <v>9h 17m</v>
      </c>
      <c r="CS14" s="18"/>
      <c r="CT14" s="22"/>
      <c r="CU14" s="22"/>
    </row>
    <row r="15" spans="1:99" s="26" customFormat="1" ht="15" thickBot="1" x14ac:dyDescent="0.35">
      <c r="A15" s="80" t="s">
        <v>45</v>
      </c>
      <c r="B15" s="118"/>
      <c r="C15" s="119"/>
      <c r="D15" s="81" t="str">
        <f t="shared" si="13"/>
        <v>0h 00m</v>
      </c>
      <c r="E15" s="82"/>
      <c r="F15" s="118"/>
      <c r="G15" s="119"/>
      <c r="H15" s="81" t="str">
        <f t="shared" si="14"/>
        <v>0h 00m</v>
      </c>
      <c r="I15" s="172"/>
      <c r="J15" s="118"/>
      <c r="K15" s="119"/>
      <c r="L15" s="102" t="str">
        <f t="shared" si="0"/>
        <v>0h 00m</v>
      </c>
      <c r="M15" s="196"/>
      <c r="N15" s="148"/>
      <c r="O15" s="90"/>
      <c r="P15" s="81" t="str">
        <f t="shared" si="15"/>
        <v>0h 00m</v>
      </c>
      <c r="Q15" s="85"/>
      <c r="R15" s="89"/>
      <c r="S15" s="90"/>
      <c r="T15" s="86" t="str">
        <f t="shared" si="23"/>
        <v>0h 00m</v>
      </c>
      <c r="U15" s="87"/>
      <c r="V15" s="89"/>
      <c r="W15" s="90"/>
      <c r="X15" s="86" t="str">
        <f t="shared" si="33"/>
        <v>0h 00m</v>
      </c>
      <c r="Y15" s="91"/>
      <c r="Z15" s="201"/>
      <c r="AA15" s="86"/>
      <c r="AB15" s="86" t="str">
        <f t="shared" si="17"/>
        <v>0h 00m</v>
      </c>
      <c r="AC15" s="88"/>
      <c r="AD15" s="89"/>
      <c r="AE15" s="90"/>
      <c r="AF15" s="86" t="str">
        <f t="shared" si="18"/>
        <v>0h 00m</v>
      </c>
      <c r="AG15" s="88"/>
      <c r="AH15" s="89"/>
      <c r="AI15" s="90"/>
      <c r="AJ15" s="86" t="str">
        <f t="shared" si="19"/>
        <v>0h 00m</v>
      </c>
      <c r="AK15" s="88"/>
      <c r="AL15" s="89"/>
      <c r="AM15" s="90"/>
      <c r="AN15" s="86" t="str">
        <f t="shared" si="20"/>
        <v>0h 00m</v>
      </c>
      <c r="AO15" s="88"/>
      <c r="AP15" s="89"/>
      <c r="AQ15" s="90"/>
      <c r="AR15" s="86" t="str">
        <f t="shared" si="21"/>
        <v>0h 00m</v>
      </c>
      <c r="AS15" s="87"/>
      <c r="AT15" s="89"/>
      <c r="AU15" s="90"/>
      <c r="AV15" s="90" t="str">
        <f t="shared" si="1"/>
        <v>0h 00m</v>
      </c>
      <c r="AW15" s="91"/>
      <c r="AX15" s="148"/>
      <c r="AY15" s="90"/>
      <c r="AZ15" s="86" t="str">
        <f t="shared" si="22"/>
        <v>0h 00m</v>
      </c>
      <c r="BA15" s="87"/>
      <c r="BB15" s="89"/>
      <c r="BC15" s="90"/>
      <c r="BD15" s="167" t="str">
        <f t="shared" si="2"/>
        <v>0h 00m</v>
      </c>
      <c r="BE15" s="91"/>
      <c r="BF15" s="148"/>
      <c r="BG15" s="90"/>
      <c r="BH15" s="86" t="str">
        <f t="shared" si="24"/>
        <v>0h 00m</v>
      </c>
      <c r="BI15" s="88"/>
      <c r="BJ15" s="89"/>
      <c r="BK15" s="90"/>
      <c r="BL15" s="86" t="str">
        <f t="shared" si="25"/>
        <v>0h 00m</v>
      </c>
      <c r="BM15" s="88"/>
      <c r="BN15" s="89"/>
      <c r="BO15" s="90"/>
      <c r="BP15" s="86" t="str">
        <f t="shared" si="26"/>
        <v>0h 00m</v>
      </c>
      <c r="BQ15" s="88"/>
      <c r="BR15" s="89"/>
      <c r="BS15" s="90"/>
      <c r="BT15" s="86" t="str">
        <f t="shared" si="27"/>
        <v>0h 00m</v>
      </c>
      <c r="BU15" s="87"/>
      <c r="BV15" s="89"/>
      <c r="BW15" s="90"/>
      <c r="BX15" s="108" t="str">
        <f t="shared" si="28"/>
        <v>0h 00m</v>
      </c>
      <c r="BY15" s="91"/>
      <c r="BZ15" s="162"/>
      <c r="CA15" s="93"/>
      <c r="CB15" s="86" t="str">
        <f t="shared" si="29"/>
        <v>0h 00m</v>
      </c>
      <c r="CC15" s="88"/>
      <c r="CD15" s="89"/>
      <c r="CE15" s="90"/>
      <c r="CF15" s="86" t="str">
        <f t="shared" si="9"/>
        <v>0h 00m</v>
      </c>
      <c r="CG15" s="91"/>
      <c r="CH15" s="89"/>
      <c r="CI15" s="90"/>
      <c r="CJ15" s="86" t="str">
        <f t="shared" si="30"/>
        <v>0h 00m</v>
      </c>
      <c r="CK15" s="88"/>
      <c r="CL15" s="89"/>
      <c r="CM15" s="90"/>
      <c r="CN15" s="86" t="str">
        <f t="shared" si="31"/>
        <v>0h 00m</v>
      </c>
      <c r="CO15" s="88"/>
      <c r="CP15" s="89"/>
      <c r="CQ15" s="90"/>
      <c r="CR15" s="86" t="str">
        <f t="shared" si="32"/>
        <v>0h 00m</v>
      </c>
      <c r="CS15" s="88"/>
      <c r="CT15" s="94"/>
      <c r="CU15" s="94"/>
    </row>
    <row r="16" spans="1:99" ht="15" thickBot="1" x14ac:dyDescent="0.35">
      <c r="A16" s="80" t="s">
        <v>46</v>
      </c>
      <c r="B16" s="118"/>
      <c r="C16" s="119"/>
      <c r="D16" s="81" t="str">
        <f t="shared" si="13"/>
        <v>0h 00m</v>
      </c>
      <c r="E16" s="82"/>
      <c r="F16" s="118"/>
      <c r="G16" s="119"/>
      <c r="H16" s="81" t="str">
        <f t="shared" si="14"/>
        <v>0h 00m</v>
      </c>
      <c r="I16" s="172"/>
      <c r="J16" s="118"/>
      <c r="K16" s="119"/>
      <c r="L16" s="102" t="str">
        <f t="shared" si="0"/>
        <v>0h 00m</v>
      </c>
      <c r="M16" s="196"/>
      <c r="N16" s="148"/>
      <c r="O16" s="90"/>
      <c r="P16" s="81" t="str">
        <f t="shared" si="15"/>
        <v>0h 00m</v>
      </c>
      <c r="Q16" s="85"/>
      <c r="R16" s="89"/>
      <c r="S16" s="90"/>
      <c r="T16" s="86" t="str">
        <f t="shared" si="23"/>
        <v>0h 00m</v>
      </c>
      <c r="U16" s="87"/>
      <c r="V16" s="89"/>
      <c r="W16" s="90"/>
      <c r="X16" s="86" t="str">
        <f t="shared" si="33"/>
        <v>0h 00m</v>
      </c>
      <c r="Y16" s="91"/>
      <c r="Z16" s="201"/>
      <c r="AA16" s="86"/>
      <c r="AB16" s="86" t="str">
        <f t="shared" si="17"/>
        <v>0h 00m</v>
      </c>
      <c r="AC16" s="88"/>
      <c r="AD16" s="95"/>
      <c r="AE16" s="96"/>
      <c r="AF16" s="86" t="str">
        <f t="shared" si="18"/>
        <v>0h 00m</v>
      </c>
      <c r="AG16" s="88"/>
      <c r="AH16" s="95"/>
      <c r="AI16" s="96"/>
      <c r="AJ16" s="86" t="str">
        <f t="shared" si="19"/>
        <v>0h 00m</v>
      </c>
      <c r="AK16" s="88"/>
      <c r="AL16" s="95"/>
      <c r="AM16" s="96"/>
      <c r="AN16" s="86" t="str">
        <f t="shared" si="20"/>
        <v>0h 00m</v>
      </c>
      <c r="AO16" s="88"/>
      <c r="AP16" s="97"/>
      <c r="AQ16" s="98"/>
      <c r="AR16" s="86" t="str">
        <f t="shared" si="21"/>
        <v>0h 00m</v>
      </c>
      <c r="AS16" s="87"/>
      <c r="AT16" s="89"/>
      <c r="AU16" s="90"/>
      <c r="AV16" s="90" t="str">
        <f t="shared" si="1"/>
        <v>0h 00m</v>
      </c>
      <c r="AW16" s="91"/>
      <c r="AX16" s="146"/>
      <c r="AY16" s="96"/>
      <c r="AZ16" s="86" t="str">
        <f t="shared" si="22"/>
        <v>0h 00m</v>
      </c>
      <c r="BA16" s="87"/>
      <c r="BB16" s="89"/>
      <c r="BC16" s="90"/>
      <c r="BD16" s="167" t="str">
        <f t="shared" si="2"/>
        <v>0h 00m</v>
      </c>
      <c r="BE16" s="91"/>
      <c r="BF16" s="166"/>
      <c r="BG16" s="99"/>
      <c r="BH16" s="86" t="str">
        <f t="shared" si="24"/>
        <v>0h 00m</v>
      </c>
      <c r="BI16" s="88"/>
      <c r="BJ16" s="95"/>
      <c r="BK16" s="96"/>
      <c r="BL16" s="86" t="str">
        <f t="shared" si="25"/>
        <v>0h 00m</v>
      </c>
      <c r="BM16" s="88"/>
      <c r="BN16" s="95"/>
      <c r="BO16" s="96"/>
      <c r="BP16" s="86" t="str">
        <f t="shared" si="26"/>
        <v>0h 00m</v>
      </c>
      <c r="BQ16" s="88"/>
      <c r="BR16" s="95"/>
      <c r="BS16" s="96"/>
      <c r="BT16" s="86" t="str">
        <f t="shared" si="27"/>
        <v>0h 00m</v>
      </c>
      <c r="BU16" s="87"/>
      <c r="BV16" s="89"/>
      <c r="BW16" s="90"/>
      <c r="BX16" s="108" t="str">
        <f t="shared" si="28"/>
        <v>0h 00m</v>
      </c>
      <c r="BY16" s="91"/>
      <c r="BZ16" s="146"/>
      <c r="CA16" s="96"/>
      <c r="CB16" s="86" t="str">
        <f t="shared" si="29"/>
        <v>0h 00m</v>
      </c>
      <c r="CC16" s="88"/>
      <c r="CD16" s="89"/>
      <c r="CE16" s="90"/>
      <c r="CF16" s="86" t="str">
        <f t="shared" si="9"/>
        <v>0h 00m</v>
      </c>
      <c r="CG16" s="91"/>
      <c r="CH16" s="95"/>
      <c r="CI16" s="96"/>
      <c r="CJ16" s="86" t="str">
        <f t="shared" si="30"/>
        <v>0h 00m</v>
      </c>
      <c r="CK16" s="88"/>
      <c r="CL16" s="89"/>
      <c r="CM16" s="90"/>
      <c r="CN16" s="86" t="str">
        <f t="shared" si="31"/>
        <v>0h 00m</v>
      </c>
      <c r="CO16" s="88"/>
      <c r="CP16" s="95"/>
      <c r="CQ16" s="96"/>
      <c r="CR16" s="86" t="str">
        <f t="shared" si="32"/>
        <v>0h 00m</v>
      </c>
      <c r="CS16" s="88"/>
      <c r="CT16" s="94"/>
      <c r="CU16" s="94"/>
    </row>
    <row r="17" spans="1:99" ht="15" thickBot="1" x14ac:dyDescent="0.35">
      <c r="A17" s="2" t="s">
        <v>47</v>
      </c>
      <c r="B17" s="129">
        <v>0.30694444444444446</v>
      </c>
      <c r="C17" s="130">
        <v>0.67986111111111114</v>
      </c>
      <c r="D17" s="8" t="str">
        <f t="shared" si="13"/>
        <v>8h 57m</v>
      </c>
      <c r="E17" s="46"/>
      <c r="F17" s="129">
        <v>0.2986111111111111</v>
      </c>
      <c r="G17" s="130">
        <v>0.68263888888888891</v>
      </c>
      <c r="H17" s="8" t="str">
        <f t="shared" si="14"/>
        <v>9h 13m</v>
      </c>
      <c r="I17" s="170"/>
      <c r="J17" s="129">
        <v>0.29166666666666669</v>
      </c>
      <c r="K17" s="130">
        <v>0.68055555555555558</v>
      </c>
      <c r="L17" s="182" t="str">
        <f t="shared" si="0"/>
        <v>9h 20m</v>
      </c>
      <c r="M17" s="194"/>
      <c r="N17" s="143">
        <v>0.30208333333333331</v>
      </c>
      <c r="O17" s="10">
        <v>0.72013888888888888</v>
      </c>
      <c r="P17" s="8" t="str">
        <f t="shared" si="15"/>
        <v>10h 02m</v>
      </c>
      <c r="Q17" s="17"/>
      <c r="R17" s="16">
        <v>0.27430555555555558</v>
      </c>
      <c r="S17" s="10">
        <v>0.67847222222222225</v>
      </c>
      <c r="T17" s="9" t="str">
        <f t="shared" si="23"/>
        <v>9h 42m</v>
      </c>
      <c r="U17" s="51"/>
      <c r="V17" s="20"/>
      <c r="W17" s="12"/>
      <c r="X17" s="9" t="str">
        <f t="shared" si="33"/>
        <v>0h 00m</v>
      </c>
      <c r="Y17" s="53"/>
      <c r="Z17" s="200"/>
      <c r="AA17" s="9"/>
      <c r="AB17" s="9" t="str">
        <f t="shared" si="17"/>
        <v>0h 00m</v>
      </c>
      <c r="AC17" s="18"/>
      <c r="AD17" s="16">
        <v>0.29652777777777778</v>
      </c>
      <c r="AE17" s="10">
        <v>0.67777777777777781</v>
      </c>
      <c r="AF17" s="9" t="str">
        <f t="shared" si="18"/>
        <v>9h 09m</v>
      </c>
      <c r="AG17" s="18"/>
      <c r="AH17" s="16">
        <v>0.29652777777777778</v>
      </c>
      <c r="AI17" s="10">
        <v>0.67777777777777781</v>
      </c>
      <c r="AJ17" s="9" t="str">
        <f t="shared" si="19"/>
        <v>9h 09m</v>
      </c>
      <c r="AK17" s="18"/>
      <c r="AL17" s="16">
        <v>0.30486111111111114</v>
      </c>
      <c r="AM17" s="10">
        <v>0.6791666666666667</v>
      </c>
      <c r="AN17" s="9" t="str">
        <f t="shared" si="20"/>
        <v>8h 59m</v>
      </c>
      <c r="AO17" s="18"/>
      <c r="AP17" s="16"/>
      <c r="AQ17" s="10"/>
      <c r="AR17" s="9" t="str">
        <f t="shared" si="21"/>
        <v>0h 00m</v>
      </c>
      <c r="AS17" s="51"/>
      <c r="AT17" s="20"/>
      <c r="AU17" s="12"/>
      <c r="AV17" s="12" t="str">
        <f t="shared" si="1"/>
        <v>0h 00m</v>
      </c>
      <c r="AW17" s="53"/>
      <c r="AX17" s="143">
        <v>0.30208333333333331</v>
      </c>
      <c r="AY17" s="10">
        <v>0.6791666666666667</v>
      </c>
      <c r="AZ17" s="9" t="str">
        <f t="shared" si="22"/>
        <v>9h 03m</v>
      </c>
      <c r="BA17" s="51"/>
      <c r="BB17" s="16">
        <v>0.30555555555555558</v>
      </c>
      <c r="BC17" s="10">
        <v>0.68125000000000002</v>
      </c>
      <c r="BD17" s="55" t="str">
        <f t="shared" si="2"/>
        <v>9h 01m</v>
      </c>
      <c r="BE17" s="53"/>
      <c r="BF17" s="143">
        <v>0.2986111111111111</v>
      </c>
      <c r="BG17" s="10">
        <v>0.68194444444444446</v>
      </c>
      <c r="BH17" s="9" t="str">
        <f t="shared" si="24"/>
        <v>9h 12m</v>
      </c>
      <c r="BI17" s="18"/>
      <c r="BJ17" s="16">
        <v>0.2986111111111111</v>
      </c>
      <c r="BK17" s="10">
        <v>0.6791666666666667</v>
      </c>
      <c r="BL17" s="9" t="str">
        <f t="shared" si="25"/>
        <v>9h 08m</v>
      </c>
      <c r="BM17" s="18"/>
      <c r="BN17" s="16">
        <v>0.29722222222222222</v>
      </c>
      <c r="BO17" s="10">
        <v>0.6791666666666667</v>
      </c>
      <c r="BP17" s="9" t="str">
        <f t="shared" si="26"/>
        <v>9h 10m</v>
      </c>
      <c r="BQ17" s="18"/>
      <c r="BR17" s="16">
        <v>0.3</v>
      </c>
      <c r="BS17" s="10">
        <v>0.67847222222222225</v>
      </c>
      <c r="BT17" s="9" t="str">
        <f t="shared" si="27"/>
        <v>9h 05m</v>
      </c>
      <c r="BU17" s="51"/>
      <c r="BV17" s="16">
        <v>0.30208333333333331</v>
      </c>
      <c r="BW17" s="10">
        <v>0.67708333333333337</v>
      </c>
      <c r="BX17" s="36" t="str">
        <f t="shared" si="28"/>
        <v>9h 00m</v>
      </c>
      <c r="BY17" s="53"/>
      <c r="BZ17" s="143">
        <v>0.29583333333333334</v>
      </c>
      <c r="CA17" s="10">
        <v>0.6791666666666667</v>
      </c>
      <c r="CB17" s="9" t="str">
        <f t="shared" si="29"/>
        <v>9h 12m</v>
      </c>
      <c r="CC17" s="18"/>
      <c r="CD17" s="16">
        <v>0.2673611111111111</v>
      </c>
      <c r="CE17" s="10">
        <v>0.67708333333333337</v>
      </c>
      <c r="CF17" s="9" t="str">
        <f t="shared" si="9"/>
        <v>9h 50m</v>
      </c>
      <c r="CG17" s="53"/>
      <c r="CH17" s="16"/>
      <c r="CI17" s="10"/>
      <c r="CJ17" s="9" t="str">
        <f t="shared" si="30"/>
        <v>0h 00m</v>
      </c>
      <c r="CK17" s="18"/>
      <c r="CL17" s="16"/>
      <c r="CM17" s="10"/>
      <c r="CN17" s="9" t="str">
        <f t="shared" si="31"/>
        <v>0h 00m</v>
      </c>
      <c r="CO17" s="18"/>
      <c r="CP17" s="16">
        <v>0.3034722222222222</v>
      </c>
      <c r="CQ17" s="10">
        <v>0.67708333333333337</v>
      </c>
      <c r="CR17" s="9" t="str">
        <f t="shared" si="32"/>
        <v>8h 58m</v>
      </c>
      <c r="CS17" s="18"/>
      <c r="CT17" s="22"/>
      <c r="CU17" s="22"/>
    </row>
    <row r="18" spans="1:99" ht="15" thickBot="1" x14ac:dyDescent="0.35">
      <c r="A18" s="2" t="s">
        <v>48</v>
      </c>
      <c r="B18" s="129">
        <v>0.30763888888888891</v>
      </c>
      <c r="C18" s="130">
        <v>0.68194444444444446</v>
      </c>
      <c r="D18" s="8" t="str">
        <f t="shared" si="13"/>
        <v>8h 59m</v>
      </c>
      <c r="E18" s="46"/>
      <c r="F18" s="129">
        <v>0.3</v>
      </c>
      <c r="G18" s="130">
        <v>0.67777777777777781</v>
      </c>
      <c r="H18" s="8" t="str">
        <f t="shared" si="14"/>
        <v>9h 04m</v>
      </c>
      <c r="I18" s="170"/>
      <c r="J18" s="129">
        <v>0.29236111111111113</v>
      </c>
      <c r="K18" s="130">
        <v>0.67986111111111114</v>
      </c>
      <c r="L18" s="182" t="str">
        <f t="shared" si="0"/>
        <v>9h 18m</v>
      </c>
      <c r="M18" s="194"/>
      <c r="N18" s="143">
        <v>0.29791666666666666</v>
      </c>
      <c r="O18" s="10">
        <v>0.50277777777777777</v>
      </c>
      <c r="P18" s="8" t="str">
        <f t="shared" si="15"/>
        <v>4h 55m</v>
      </c>
      <c r="Q18" s="17" t="s">
        <v>74</v>
      </c>
      <c r="R18" s="16">
        <v>0.28819444444444442</v>
      </c>
      <c r="S18" s="10">
        <v>0.68194444444444446</v>
      </c>
      <c r="T18" s="9" t="str">
        <f t="shared" si="23"/>
        <v>9h 27m</v>
      </c>
      <c r="U18" s="51"/>
      <c r="V18" s="20"/>
      <c r="W18" s="12"/>
      <c r="X18" s="9" t="str">
        <f t="shared" si="33"/>
        <v>0h 00m</v>
      </c>
      <c r="Y18" s="53"/>
      <c r="Z18" s="200"/>
      <c r="AA18" s="9"/>
      <c r="AB18" s="9" t="str">
        <f t="shared" si="17"/>
        <v>0h 00m</v>
      </c>
      <c r="AC18" s="18"/>
      <c r="AD18" s="16">
        <v>0.2951388888888889</v>
      </c>
      <c r="AE18" s="10">
        <v>0.68263888888888891</v>
      </c>
      <c r="AF18" s="9" t="str">
        <f t="shared" si="18"/>
        <v>9h 18m</v>
      </c>
      <c r="AG18" s="18"/>
      <c r="AH18" s="16">
        <v>0.29583333333333334</v>
      </c>
      <c r="AI18" s="10">
        <v>0.67777777777777781</v>
      </c>
      <c r="AJ18" s="9" t="str">
        <f t="shared" si="19"/>
        <v>9h 10m</v>
      </c>
      <c r="AK18" s="18"/>
      <c r="AL18" s="16">
        <v>0.29583333333333334</v>
      </c>
      <c r="AM18" s="10">
        <v>0.6791666666666667</v>
      </c>
      <c r="AN18" s="9" t="str">
        <f t="shared" si="20"/>
        <v>9h 12m</v>
      </c>
      <c r="AO18" s="18"/>
      <c r="AP18" s="16"/>
      <c r="AQ18" s="10"/>
      <c r="AR18" s="9" t="str">
        <f t="shared" si="21"/>
        <v>0h 00m</v>
      </c>
      <c r="AS18" s="51"/>
      <c r="AT18" s="20"/>
      <c r="AU18" s="12"/>
      <c r="AV18" s="12" t="str">
        <f t="shared" si="1"/>
        <v>0h 00m</v>
      </c>
      <c r="AW18" s="53"/>
      <c r="AX18" s="143">
        <v>0.29930555555555555</v>
      </c>
      <c r="AY18" s="10">
        <v>0.67708333333333337</v>
      </c>
      <c r="AZ18" s="9" t="str">
        <f t="shared" si="22"/>
        <v>9h 04m</v>
      </c>
      <c r="BA18" s="51"/>
      <c r="BB18" s="16">
        <v>0.29236111111111113</v>
      </c>
      <c r="BC18" s="10">
        <v>0.68125000000000002</v>
      </c>
      <c r="BD18" s="55" t="str">
        <f t="shared" si="2"/>
        <v>9h 20m</v>
      </c>
      <c r="BE18" s="53"/>
      <c r="BF18" s="143">
        <v>0.29791666666666666</v>
      </c>
      <c r="BG18" s="10">
        <v>0.68055555555555558</v>
      </c>
      <c r="BH18" s="9" t="str">
        <f t="shared" si="24"/>
        <v>9h 11m</v>
      </c>
      <c r="BI18" s="18"/>
      <c r="BJ18" s="16">
        <v>0.29930555555555555</v>
      </c>
      <c r="BK18" s="10">
        <v>0.67708333333333337</v>
      </c>
      <c r="BL18" s="9" t="str">
        <f t="shared" si="25"/>
        <v>9h 04m</v>
      </c>
      <c r="BM18" s="18"/>
      <c r="BN18" s="16">
        <v>0.29791666666666666</v>
      </c>
      <c r="BO18" s="10">
        <v>0.67847222222222225</v>
      </c>
      <c r="BP18" s="9" t="str">
        <f t="shared" si="26"/>
        <v>9h 08m</v>
      </c>
      <c r="BQ18" s="18"/>
      <c r="BR18" s="16">
        <v>0.3</v>
      </c>
      <c r="BS18" s="10">
        <v>0.67708333333333337</v>
      </c>
      <c r="BT18" s="9" t="str">
        <f t="shared" si="27"/>
        <v>9h 03m</v>
      </c>
      <c r="BU18" s="51"/>
      <c r="BV18" s="16">
        <v>0.29236111111111113</v>
      </c>
      <c r="BW18" s="10">
        <v>0.67708333333333337</v>
      </c>
      <c r="BX18" s="36" t="str">
        <f t="shared" si="28"/>
        <v>9h 14m</v>
      </c>
      <c r="BY18" s="53"/>
      <c r="BZ18" s="143">
        <v>0.29444444444444445</v>
      </c>
      <c r="CA18" s="10">
        <v>0.67777777777777781</v>
      </c>
      <c r="CB18" s="9" t="str">
        <f t="shared" si="29"/>
        <v>9h 12m</v>
      </c>
      <c r="CC18" s="18"/>
      <c r="CD18" s="16">
        <v>0.27083333333333331</v>
      </c>
      <c r="CE18" s="10">
        <v>0.67708333333333337</v>
      </c>
      <c r="CF18" s="9" t="str">
        <f t="shared" si="9"/>
        <v>9h 45m</v>
      </c>
      <c r="CG18" s="53"/>
      <c r="CH18" s="16"/>
      <c r="CI18" s="10"/>
      <c r="CJ18" s="9" t="str">
        <f t="shared" si="30"/>
        <v>0h 00m</v>
      </c>
      <c r="CK18" s="18"/>
      <c r="CL18" s="16">
        <v>0.30763888888888891</v>
      </c>
      <c r="CM18" s="10">
        <v>0.68055555555555558</v>
      </c>
      <c r="CN18" s="9" t="str">
        <f t="shared" si="31"/>
        <v>8h 57m</v>
      </c>
      <c r="CO18" s="18"/>
      <c r="CP18" s="16">
        <v>0.2951388888888889</v>
      </c>
      <c r="CQ18" s="10">
        <v>0.67847222222222225</v>
      </c>
      <c r="CR18" s="9" t="str">
        <f t="shared" si="32"/>
        <v>9h 12m</v>
      </c>
      <c r="CS18" s="18"/>
      <c r="CT18" s="22"/>
      <c r="CU18" s="22"/>
    </row>
    <row r="19" spans="1:99" ht="15" thickBot="1" x14ac:dyDescent="0.35">
      <c r="A19" s="2" t="s">
        <v>49</v>
      </c>
      <c r="B19" s="129">
        <v>0.30625000000000002</v>
      </c>
      <c r="C19" s="130">
        <v>0.68472222222222223</v>
      </c>
      <c r="D19" s="8" t="str">
        <f t="shared" si="13"/>
        <v>9h 05m</v>
      </c>
      <c r="E19" s="46"/>
      <c r="F19" s="129">
        <v>0.28888888888888886</v>
      </c>
      <c r="G19" s="130">
        <v>0.67569444444444449</v>
      </c>
      <c r="H19" s="8" t="str">
        <f t="shared" si="14"/>
        <v>9h 17m</v>
      </c>
      <c r="I19" s="170"/>
      <c r="J19" s="129">
        <v>0.29166666666666669</v>
      </c>
      <c r="K19" s="130">
        <v>0.67847222222222225</v>
      </c>
      <c r="L19" s="182" t="str">
        <f t="shared" si="0"/>
        <v>9h 17m</v>
      </c>
      <c r="M19" s="194"/>
      <c r="N19" s="143">
        <v>0.30763888888888891</v>
      </c>
      <c r="O19" s="10">
        <v>0.69444444444444442</v>
      </c>
      <c r="P19" s="8" t="str">
        <f t="shared" si="15"/>
        <v>9h 17m</v>
      </c>
      <c r="Q19" s="17"/>
      <c r="R19" s="16">
        <v>0.26944444444444443</v>
      </c>
      <c r="S19" s="10">
        <v>0.67986111111111114</v>
      </c>
      <c r="T19" s="9" t="str">
        <f t="shared" si="23"/>
        <v>9h 51m</v>
      </c>
      <c r="U19" s="51"/>
      <c r="V19" s="16">
        <v>0.30208333333333331</v>
      </c>
      <c r="W19" s="10">
        <v>0.67708333333333337</v>
      </c>
      <c r="X19" s="9" t="str">
        <f t="shared" si="33"/>
        <v>9h 00m</v>
      </c>
      <c r="Y19" s="53"/>
      <c r="Z19" s="200"/>
      <c r="AA19" s="9"/>
      <c r="AB19" s="9" t="str">
        <f t="shared" si="17"/>
        <v>0h 00m</v>
      </c>
      <c r="AC19" s="18"/>
      <c r="AD19" s="16">
        <v>0.29652777777777778</v>
      </c>
      <c r="AE19" s="10">
        <v>0.67777777777777781</v>
      </c>
      <c r="AF19" s="9" t="str">
        <f t="shared" si="18"/>
        <v>9h 09m</v>
      </c>
      <c r="AG19" s="18"/>
      <c r="AH19" s="16">
        <v>0.29722222222222222</v>
      </c>
      <c r="AI19" s="10">
        <v>0.67777777777777781</v>
      </c>
      <c r="AJ19" s="9" t="str">
        <f t="shared" si="19"/>
        <v>9h 08m</v>
      </c>
      <c r="AK19" s="18"/>
      <c r="AL19" s="16">
        <v>0.29722222222222222</v>
      </c>
      <c r="AM19" s="10">
        <v>0.69027777777777777</v>
      </c>
      <c r="AN19" s="9" t="str">
        <f t="shared" si="20"/>
        <v>9h 26m</v>
      </c>
      <c r="AO19" s="18"/>
      <c r="AP19" s="16"/>
      <c r="AQ19" s="10"/>
      <c r="AR19" s="9" t="str">
        <f t="shared" si="21"/>
        <v>0h 00m</v>
      </c>
      <c r="AS19" s="51"/>
      <c r="AT19" s="20"/>
      <c r="AU19" s="12"/>
      <c r="AV19" s="12" t="str">
        <f t="shared" si="1"/>
        <v>0h 00m</v>
      </c>
      <c r="AW19" s="53"/>
      <c r="AX19" s="143">
        <v>0.30277777777777776</v>
      </c>
      <c r="AY19" s="10">
        <v>0.67708333333333337</v>
      </c>
      <c r="AZ19" s="9" t="str">
        <f t="shared" si="22"/>
        <v>8h 59m</v>
      </c>
      <c r="BA19" s="51"/>
      <c r="BB19" s="16">
        <v>0.27083333333333331</v>
      </c>
      <c r="BC19" s="10">
        <v>0.67986111111111114</v>
      </c>
      <c r="BD19" s="55" t="str">
        <f t="shared" si="2"/>
        <v>9h 49m</v>
      </c>
      <c r="BE19" s="53"/>
      <c r="BF19" s="143">
        <v>0.30555555555555558</v>
      </c>
      <c r="BG19" s="10" t="s">
        <v>79</v>
      </c>
      <c r="BH19" s="9" t="e">
        <f t="shared" si="24"/>
        <v>#VALUE!</v>
      </c>
      <c r="BI19" s="18"/>
      <c r="BJ19" s="16">
        <v>0.30208333333333331</v>
      </c>
      <c r="BK19" s="10">
        <v>0.6743055555555556</v>
      </c>
      <c r="BL19" s="9" t="str">
        <f t="shared" si="25"/>
        <v>8h 56m</v>
      </c>
      <c r="BM19" s="18"/>
      <c r="BN19" s="16">
        <v>0.29722222222222222</v>
      </c>
      <c r="BO19" s="10">
        <v>0.67847222222222225</v>
      </c>
      <c r="BP19" s="9" t="str">
        <f t="shared" si="26"/>
        <v>9h 09m</v>
      </c>
      <c r="BQ19" s="18"/>
      <c r="BR19" s="16">
        <v>0.30208333333333331</v>
      </c>
      <c r="BS19" s="10">
        <v>0.67500000000000004</v>
      </c>
      <c r="BT19" s="9" t="str">
        <f t="shared" si="27"/>
        <v>8h 57m</v>
      </c>
      <c r="BU19" s="51"/>
      <c r="BV19" s="16">
        <v>0.29236111111111113</v>
      </c>
      <c r="BW19" s="10">
        <v>0.67708333333333337</v>
      </c>
      <c r="BX19" s="36" t="str">
        <f t="shared" si="28"/>
        <v>9h 14m</v>
      </c>
      <c r="BY19" s="53"/>
      <c r="BZ19" s="143">
        <v>0.30208333333333331</v>
      </c>
      <c r="CA19" s="10">
        <v>0.67777777777777781</v>
      </c>
      <c r="CB19" s="9" t="str">
        <f t="shared" si="29"/>
        <v>9h 01m</v>
      </c>
      <c r="CC19" s="18"/>
      <c r="CD19" s="16">
        <v>0.27083333333333331</v>
      </c>
      <c r="CE19" s="10">
        <v>0.67708333333333337</v>
      </c>
      <c r="CF19" s="9" t="str">
        <f t="shared" si="9"/>
        <v>9h 45m</v>
      </c>
      <c r="CG19" s="53"/>
      <c r="CH19" s="16"/>
      <c r="CI19" s="10"/>
      <c r="CJ19" s="9" t="str">
        <f t="shared" si="30"/>
        <v>0h 00m</v>
      </c>
      <c r="CK19" s="18"/>
      <c r="CL19" s="16"/>
      <c r="CM19" s="10"/>
      <c r="CN19" s="9" t="str">
        <f t="shared" si="31"/>
        <v>0h 00m</v>
      </c>
      <c r="CO19" s="18"/>
      <c r="CP19" s="16">
        <v>0.29722222222222222</v>
      </c>
      <c r="CQ19" s="10">
        <v>0.67708333333333337</v>
      </c>
      <c r="CR19" s="9" t="str">
        <f t="shared" si="32"/>
        <v>9h 07m</v>
      </c>
      <c r="CS19" s="18"/>
      <c r="CT19" s="22"/>
      <c r="CU19" s="22"/>
    </row>
    <row r="20" spans="1:99" ht="15" thickBot="1" x14ac:dyDescent="0.35">
      <c r="A20" s="2" t="s">
        <v>50</v>
      </c>
      <c r="B20" s="209">
        <v>0.31041666666666667</v>
      </c>
      <c r="C20" s="215">
        <v>0.39583333333333331</v>
      </c>
      <c r="D20" s="8" t="str">
        <f t="shared" si="13"/>
        <v>2h 03m</v>
      </c>
      <c r="E20" s="46" t="s">
        <v>81</v>
      </c>
      <c r="F20" s="129">
        <v>0.28680555555555554</v>
      </c>
      <c r="G20" s="130">
        <v>0.67708333333333337</v>
      </c>
      <c r="H20" s="8" t="str">
        <f t="shared" si="14"/>
        <v>9h 22m</v>
      </c>
      <c r="I20" s="170"/>
      <c r="J20" s="129">
        <v>0.2902777777777778</v>
      </c>
      <c r="K20" s="130">
        <v>0.69097222222222221</v>
      </c>
      <c r="L20" s="182" t="str">
        <f t="shared" si="0"/>
        <v>9h 37m</v>
      </c>
      <c r="M20" s="194"/>
      <c r="N20" s="143">
        <v>0.32500000000000001</v>
      </c>
      <c r="O20" s="10">
        <v>0.69305555555555554</v>
      </c>
      <c r="P20" s="8" t="str">
        <f t="shared" si="15"/>
        <v>8h 50m</v>
      </c>
      <c r="Q20" s="17"/>
      <c r="R20" s="16">
        <v>0.26944444444444443</v>
      </c>
      <c r="S20" s="10">
        <v>0.67847222222222225</v>
      </c>
      <c r="T20" s="9" t="str">
        <f t="shared" si="23"/>
        <v>9h 49m</v>
      </c>
      <c r="U20" s="51"/>
      <c r="V20" s="16">
        <v>0.27152777777777776</v>
      </c>
      <c r="W20" s="10">
        <v>0.67986111111111114</v>
      </c>
      <c r="X20" s="9" t="str">
        <f t="shared" si="33"/>
        <v>9h 48m</v>
      </c>
      <c r="Y20" s="53"/>
      <c r="Z20" s="200"/>
      <c r="AA20" s="9"/>
      <c r="AB20" s="9" t="str">
        <f t="shared" si="17"/>
        <v>0h 00m</v>
      </c>
      <c r="AC20" s="18"/>
      <c r="AD20" s="16">
        <v>0.29305555555555557</v>
      </c>
      <c r="AE20" s="10">
        <v>0.6791666666666667</v>
      </c>
      <c r="AF20" s="9" t="str">
        <f t="shared" si="18"/>
        <v>9h 16m</v>
      </c>
      <c r="AG20" s="18"/>
      <c r="AH20" s="16">
        <v>0.29791666666666666</v>
      </c>
      <c r="AI20" s="10">
        <v>0.67777777777777781</v>
      </c>
      <c r="AJ20" s="9" t="str">
        <f t="shared" si="19"/>
        <v>9h 07m</v>
      </c>
      <c r="AK20" s="18"/>
      <c r="AL20" s="16">
        <v>0.29305555555555557</v>
      </c>
      <c r="AM20" s="10">
        <v>0.69722222222222219</v>
      </c>
      <c r="AN20" s="9" t="str">
        <f t="shared" si="20"/>
        <v>9h 42m</v>
      </c>
      <c r="AO20" s="18"/>
      <c r="AP20" s="16"/>
      <c r="AQ20" s="10"/>
      <c r="AR20" s="9" t="str">
        <f t="shared" si="21"/>
        <v>0h 00m</v>
      </c>
      <c r="AS20" s="51"/>
      <c r="AT20" s="20"/>
      <c r="AU20" s="12"/>
      <c r="AV20" s="12" t="str">
        <f t="shared" si="1"/>
        <v>0h 00m</v>
      </c>
      <c r="AW20" s="53"/>
      <c r="AX20" s="143">
        <v>0.29166666666666669</v>
      </c>
      <c r="AY20" s="10">
        <v>0.67708333333333337</v>
      </c>
      <c r="AZ20" s="9" t="str">
        <f t="shared" si="22"/>
        <v>9h 15m</v>
      </c>
      <c r="BA20" s="51"/>
      <c r="BB20" s="16">
        <v>0.27152777777777776</v>
      </c>
      <c r="BC20" s="10">
        <v>0.72986111111111107</v>
      </c>
      <c r="BD20" s="55" t="str">
        <f t="shared" si="2"/>
        <v>11h 00m</v>
      </c>
      <c r="BE20" s="53"/>
      <c r="BF20" s="143">
        <v>0.29930555555555555</v>
      </c>
      <c r="BG20" s="10">
        <v>0.68125000000000002</v>
      </c>
      <c r="BH20" s="9" t="str">
        <f t="shared" si="24"/>
        <v>9h 10m</v>
      </c>
      <c r="BI20" s="18"/>
      <c r="BJ20" s="16">
        <v>0.28749999999999998</v>
      </c>
      <c r="BK20" s="10">
        <v>0.67708333333333337</v>
      </c>
      <c r="BL20" s="9" t="str">
        <f t="shared" si="25"/>
        <v>9h 21m</v>
      </c>
      <c r="BM20" s="18"/>
      <c r="BN20" s="16">
        <v>0.2986111111111111</v>
      </c>
      <c r="BO20" s="10">
        <v>0.67847222222222225</v>
      </c>
      <c r="BP20" s="9" t="str">
        <f t="shared" si="26"/>
        <v>9h 07m</v>
      </c>
      <c r="BQ20" s="18"/>
      <c r="BR20" s="16">
        <v>0.28749999999999998</v>
      </c>
      <c r="BS20" s="10">
        <v>0.67708333333333337</v>
      </c>
      <c r="BT20" s="9" t="str">
        <f t="shared" si="27"/>
        <v>9h 21m</v>
      </c>
      <c r="BU20" s="51"/>
      <c r="BV20" s="16">
        <v>0.30208333333333331</v>
      </c>
      <c r="BW20" s="10">
        <v>0.67708333333333337</v>
      </c>
      <c r="BX20" s="36" t="str">
        <f t="shared" si="7"/>
        <v>9h 00m</v>
      </c>
      <c r="BY20" s="53"/>
      <c r="BZ20" s="143">
        <v>0.29236111111111113</v>
      </c>
      <c r="CA20" s="10">
        <v>0.6791666666666667</v>
      </c>
      <c r="CB20" s="9" t="str">
        <f t="shared" si="29"/>
        <v>9h 17m</v>
      </c>
      <c r="CC20" s="18"/>
      <c r="CD20" s="16">
        <v>0.27083333333333331</v>
      </c>
      <c r="CE20" s="10">
        <v>0.67708333333333337</v>
      </c>
      <c r="CF20" s="9" t="str">
        <f t="shared" si="9"/>
        <v>9h 45m</v>
      </c>
      <c r="CG20" s="53"/>
      <c r="CH20" s="16"/>
      <c r="CI20" s="10"/>
      <c r="CJ20" s="9" t="str">
        <f t="shared" si="30"/>
        <v>0h 00m</v>
      </c>
      <c r="CK20" s="18"/>
      <c r="CL20" s="16">
        <v>0.30208333333333331</v>
      </c>
      <c r="CM20" s="10">
        <v>0.68263888888888891</v>
      </c>
      <c r="CN20" s="9" t="str">
        <f t="shared" si="31"/>
        <v>9h 08m</v>
      </c>
      <c r="CO20" s="18"/>
      <c r="CP20" s="16">
        <v>0.29305555555555557</v>
      </c>
      <c r="CQ20" s="10">
        <v>0.67847222222222225</v>
      </c>
      <c r="CR20" s="9" t="str">
        <f t="shared" si="32"/>
        <v>9h 15m</v>
      </c>
      <c r="CS20" s="18"/>
      <c r="CT20" s="22"/>
      <c r="CU20" s="22"/>
    </row>
    <row r="21" spans="1:99" s="26" customFormat="1" ht="15" thickBot="1" x14ac:dyDescent="0.35">
      <c r="A21" s="3" t="s">
        <v>51</v>
      </c>
      <c r="B21" s="131" t="s">
        <v>63</v>
      </c>
      <c r="C21" s="132" t="s">
        <v>64</v>
      </c>
      <c r="D21" s="9" t="str">
        <f>$T$2</f>
        <v>0h 00m</v>
      </c>
      <c r="E21" s="46" t="s">
        <v>81</v>
      </c>
      <c r="F21" s="137">
        <v>0.28749999999999998</v>
      </c>
      <c r="G21" s="141">
        <v>0.68402777777777779</v>
      </c>
      <c r="H21" s="8" t="str">
        <f t="shared" si="14"/>
        <v>9h 31m</v>
      </c>
      <c r="I21" s="171"/>
      <c r="J21" s="137">
        <v>0.29305555555555557</v>
      </c>
      <c r="K21" s="141">
        <v>0.67708333333333337</v>
      </c>
      <c r="L21" s="182" t="str">
        <f t="shared" si="0"/>
        <v>9h 13m</v>
      </c>
      <c r="M21" s="195"/>
      <c r="N21" s="143">
        <v>0.29097222222222224</v>
      </c>
      <c r="O21" s="10">
        <v>0.70347222222222228</v>
      </c>
      <c r="P21" s="8" t="str">
        <f t="shared" si="15"/>
        <v>9h 54m</v>
      </c>
      <c r="Q21" s="17"/>
      <c r="R21" s="16">
        <v>0.27361111111111114</v>
      </c>
      <c r="S21" s="10">
        <v>0.67777777777777781</v>
      </c>
      <c r="T21" s="9" t="str">
        <f t="shared" si="23"/>
        <v>9h 42m</v>
      </c>
      <c r="U21" s="51"/>
      <c r="V21" s="16">
        <v>0.27083333333333331</v>
      </c>
      <c r="W21" s="10">
        <v>0.67708333333333337</v>
      </c>
      <c r="X21" s="9" t="str">
        <f t="shared" si="33"/>
        <v>9h 45m</v>
      </c>
      <c r="Y21" s="53"/>
      <c r="Z21" s="200"/>
      <c r="AA21" s="9"/>
      <c r="AB21" s="9" t="str">
        <f t="shared" si="17"/>
        <v>0h 00m</v>
      </c>
      <c r="AC21" s="18"/>
      <c r="AD21" s="208" t="s">
        <v>73</v>
      </c>
      <c r="AE21" s="159" t="s">
        <v>64</v>
      </c>
      <c r="AF21" s="9" t="str">
        <f>$T$2</f>
        <v>0h 00m</v>
      </c>
      <c r="AG21" s="18" t="s">
        <v>80</v>
      </c>
      <c r="AH21" s="16">
        <v>0.29652777777777778</v>
      </c>
      <c r="AI21" s="10">
        <v>0.6791666666666667</v>
      </c>
      <c r="AJ21" s="9" t="str">
        <f t="shared" si="19"/>
        <v>9h 11m</v>
      </c>
      <c r="AK21" s="18"/>
      <c r="AL21" s="16">
        <v>0.2902777777777778</v>
      </c>
      <c r="AM21" s="10">
        <v>0.6791666666666667</v>
      </c>
      <c r="AN21" s="9" t="str">
        <f t="shared" si="20"/>
        <v>9h 20m</v>
      </c>
      <c r="AO21" s="18"/>
      <c r="AP21" s="20"/>
      <c r="AQ21" s="12"/>
      <c r="AR21" s="9" t="str">
        <f t="shared" si="21"/>
        <v>0h 00m</v>
      </c>
      <c r="AS21" s="51"/>
      <c r="AT21" s="20"/>
      <c r="AU21" s="12"/>
      <c r="AV21" s="12" t="str">
        <f t="shared" si="1"/>
        <v>0h 00m</v>
      </c>
      <c r="AW21" s="53"/>
      <c r="AX21" s="143">
        <v>0.29166666666666669</v>
      </c>
      <c r="AY21" s="10">
        <v>0.67847222222222225</v>
      </c>
      <c r="AZ21" s="9" t="str">
        <f t="shared" si="22"/>
        <v>9h 17m</v>
      </c>
      <c r="BA21" s="51"/>
      <c r="BB21" s="16">
        <v>0.27083333333333331</v>
      </c>
      <c r="BC21" s="10">
        <v>0.68263888888888891</v>
      </c>
      <c r="BD21" s="55" t="str">
        <f t="shared" si="2"/>
        <v>9h 53m</v>
      </c>
      <c r="BE21" s="53"/>
      <c r="BF21" s="143">
        <v>0.29722222222222222</v>
      </c>
      <c r="BG21" s="10">
        <v>0.68055555555555558</v>
      </c>
      <c r="BH21" s="9" t="str">
        <f t="shared" si="24"/>
        <v>9h 12m</v>
      </c>
      <c r="BI21" s="18"/>
      <c r="BJ21" s="16">
        <v>0.30208333333333331</v>
      </c>
      <c r="BK21" s="10">
        <v>0.6791666666666667</v>
      </c>
      <c r="BL21" s="9" t="str">
        <f t="shared" si="25"/>
        <v>9h 03m</v>
      </c>
      <c r="BM21" s="18"/>
      <c r="BN21" s="16">
        <v>0.29722222222222222</v>
      </c>
      <c r="BO21" s="10">
        <v>0.67708333333333337</v>
      </c>
      <c r="BP21" s="9" t="str">
        <f t="shared" si="26"/>
        <v>9h 07m</v>
      </c>
      <c r="BQ21" s="18"/>
      <c r="BR21" s="16">
        <v>0.3</v>
      </c>
      <c r="BS21" s="10">
        <v>0.6791666666666667</v>
      </c>
      <c r="BT21" s="9" t="str">
        <f t="shared" si="27"/>
        <v>9h 06m</v>
      </c>
      <c r="BU21" s="51"/>
      <c r="BV21" s="16">
        <v>0.28749999999999998</v>
      </c>
      <c r="BW21" s="10">
        <v>0.68263888888888891</v>
      </c>
      <c r="BX21" s="36" t="str">
        <f t="shared" si="7"/>
        <v>9h 29m</v>
      </c>
      <c r="BY21" s="53"/>
      <c r="BZ21" s="143">
        <v>0.30069444444444443</v>
      </c>
      <c r="CA21" s="10">
        <v>0.67708333333333337</v>
      </c>
      <c r="CB21" s="9" t="str">
        <f t="shared" si="29"/>
        <v>9h 02m</v>
      </c>
      <c r="CC21" s="18"/>
      <c r="CD21" s="16">
        <v>0.27083333333333331</v>
      </c>
      <c r="CE21" s="10">
        <v>0.67708333333333337</v>
      </c>
      <c r="CF21" s="9" t="str">
        <f t="shared" si="9"/>
        <v>9h 45m</v>
      </c>
      <c r="CG21" s="53"/>
      <c r="CH21" s="20"/>
      <c r="CI21" s="12"/>
      <c r="CJ21" s="9" t="str">
        <f t="shared" si="30"/>
        <v>0h 00m</v>
      </c>
      <c r="CK21" s="18"/>
      <c r="CL21" s="20"/>
      <c r="CM21" s="12"/>
      <c r="CN21" s="9" t="str">
        <f t="shared" si="31"/>
        <v>0h 00m</v>
      </c>
      <c r="CO21" s="18"/>
      <c r="CP21" s="16">
        <v>0.29166666666666669</v>
      </c>
      <c r="CQ21" s="10">
        <v>0.67777777777777781</v>
      </c>
      <c r="CR21" s="9" t="str">
        <f t="shared" si="32"/>
        <v>9h 16m</v>
      </c>
      <c r="CS21" s="18"/>
      <c r="CT21" s="22"/>
      <c r="CU21" s="22"/>
    </row>
    <row r="22" spans="1:99" s="26" customFormat="1" ht="15" thickBot="1" x14ac:dyDescent="0.35">
      <c r="A22" s="80" t="s">
        <v>52</v>
      </c>
      <c r="B22" s="118"/>
      <c r="C22" s="119"/>
      <c r="D22" s="81" t="str">
        <f t="shared" si="13"/>
        <v>0h 00m</v>
      </c>
      <c r="E22" s="82"/>
      <c r="F22" s="118"/>
      <c r="G22" s="119"/>
      <c r="H22" s="81" t="str">
        <f t="shared" si="14"/>
        <v>0h 00m</v>
      </c>
      <c r="I22" s="172"/>
      <c r="J22" s="118"/>
      <c r="K22" s="119"/>
      <c r="L22" s="102" t="str">
        <f t="shared" si="0"/>
        <v>0h 00m</v>
      </c>
      <c r="M22" s="196"/>
      <c r="N22" s="148"/>
      <c r="O22" s="90"/>
      <c r="P22" s="81" t="str">
        <f t="shared" si="15"/>
        <v>0h 00m</v>
      </c>
      <c r="Q22" s="85"/>
      <c r="R22" s="89"/>
      <c r="S22" s="90"/>
      <c r="T22" s="86" t="str">
        <f t="shared" si="23"/>
        <v>0h 00m</v>
      </c>
      <c r="U22" s="87"/>
      <c r="V22" s="89"/>
      <c r="W22" s="90"/>
      <c r="X22" s="86" t="str">
        <f t="shared" si="33"/>
        <v>0h 00m</v>
      </c>
      <c r="Y22" s="91"/>
      <c r="Z22" s="201"/>
      <c r="AA22" s="86"/>
      <c r="AB22" s="86" t="str">
        <f t="shared" si="17"/>
        <v>0h 00m</v>
      </c>
      <c r="AC22" s="88"/>
      <c r="AD22" s="89"/>
      <c r="AE22" s="90"/>
      <c r="AF22" s="86" t="str">
        <f t="shared" si="18"/>
        <v>0h 00m</v>
      </c>
      <c r="AG22" s="88"/>
      <c r="AH22" s="89"/>
      <c r="AI22" s="90"/>
      <c r="AJ22" s="86" t="str">
        <f t="shared" si="19"/>
        <v>0h 00m</v>
      </c>
      <c r="AK22" s="88"/>
      <c r="AL22" s="89"/>
      <c r="AM22" s="90"/>
      <c r="AN22" s="86" t="str">
        <f t="shared" si="20"/>
        <v>0h 00m</v>
      </c>
      <c r="AO22" s="88"/>
      <c r="AP22" s="89"/>
      <c r="AQ22" s="90"/>
      <c r="AR22" s="86" t="str">
        <f t="shared" si="21"/>
        <v>0h 00m</v>
      </c>
      <c r="AS22" s="87"/>
      <c r="AT22" s="89"/>
      <c r="AU22" s="90"/>
      <c r="AV22" s="90" t="str">
        <f t="shared" si="1"/>
        <v>0h 00m</v>
      </c>
      <c r="AW22" s="91"/>
      <c r="AX22" s="148"/>
      <c r="AY22" s="90"/>
      <c r="AZ22" s="86" t="str">
        <f t="shared" si="22"/>
        <v>0h 00m</v>
      </c>
      <c r="BA22" s="87"/>
      <c r="BB22" s="89"/>
      <c r="BC22" s="90"/>
      <c r="BD22" s="167" t="str">
        <f t="shared" si="2"/>
        <v>0h 00m</v>
      </c>
      <c r="BE22" s="91"/>
      <c r="BF22" s="148"/>
      <c r="BG22" s="90"/>
      <c r="BH22" s="86" t="str">
        <f t="shared" si="24"/>
        <v>0h 00m</v>
      </c>
      <c r="BI22" s="88"/>
      <c r="BJ22" s="89"/>
      <c r="BK22" s="90"/>
      <c r="BL22" s="86" t="str">
        <f t="shared" si="25"/>
        <v>0h 00m</v>
      </c>
      <c r="BM22" s="88"/>
      <c r="BN22" s="89"/>
      <c r="BO22" s="90"/>
      <c r="BP22" s="86" t="str">
        <f t="shared" si="26"/>
        <v>0h 00m</v>
      </c>
      <c r="BQ22" s="88"/>
      <c r="BR22" s="89"/>
      <c r="BS22" s="90"/>
      <c r="BT22" s="86" t="str">
        <f t="shared" si="27"/>
        <v>0h 00m</v>
      </c>
      <c r="BU22" s="87"/>
      <c r="BV22" s="89"/>
      <c r="BW22" s="90"/>
      <c r="BX22" s="108" t="str">
        <f t="shared" si="7"/>
        <v>0h 00m</v>
      </c>
      <c r="BY22" s="91"/>
      <c r="BZ22" s="148"/>
      <c r="CA22" s="90"/>
      <c r="CB22" s="86" t="str">
        <f t="shared" si="29"/>
        <v>0h 00m</v>
      </c>
      <c r="CC22" s="88"/>
      <c r="CD22" s="89"/>
      <c r="CE22" s="90"/>
      <c r="CF22" s="86" t="str">
        <f t="shared" si="9"/>
        <v>0h 00m</v>
      </c>
      <c r="CG22" s="91"/>
      <c r="CH22" s="89"/>
      <c r="CI22" s="90"/>
      <c r="CJ22" s="86" t="str">
        <f t="shared" si="30"/>
        <v>0h 00m</v>
      </c>
      <c r="CK22" s="88"/>
      <c r="CL22" s="89"/>
      <c r="CM22" s="90"/>
      <c r="CN22" s="86" t="str">
        <f t="shared" si="31"/>
        <v>0h 00m</v>
      </c>
      <c r="CO22" s="88"/>
      <c r="CP22" s="89"/>
      <c r="CQ22" s="90"/>
      <c r="CR22" s="86" t="str">
        <f t="shared" si="32"/>
        <v>0h 00m</v>
      </c>
      <c r="CS22" s="88"/>
      <c r="CT22" s="94"/>
      <c r="CU22" s="94"/>
    </row>
    <row r="23" spans="1:99" ht="15" thickBot="1" x14ac:dyDescent="0.35">
      <c r="A23" s="80" t="s">
        <v>53</v>
      </c>
      <c r="B23" s="118"/>
      <c r="C23" s="119"/>
      <c r="D23" s="81" t="str">
        <f t="shared" si="13"/>
        <v>0h 00m</v>
      </c>
      <c r="E23" s="82"/>
      <c r="F23" s="118"/>
      <c r="G23" s="119"/>
      <c r="H23" s="81" t="str">
        <f t="shared" si="14"/>
        <v>0h 00m</v>
      </c>
      <c r="I23" s="172"/>
      <c r="J23" s="118"/>
      <c r="K23" s="119"/>
      <c r="L23" s="102" t="str">
        <f t="shared" si="0"/>
        <v>0h 00m</v>
      </c>
      <c r="M23" s="196"/>
      <c r="N23" s="148"/>
      <c r="O23" s="90"/>
      <c r="P23" s="81" t="str">
        <f t="shared" si="15"/>
        <v>0h 00m</v>
      </c>
      <c r="Q23" s="88"/>
      <c r="R23" s="89"/>
      <c r="S23" s="90"/>
      <c r="T23" s="86" t="str">
        <f t="shared" si="23"/>
        <v>0h 00m</v>
      </c>
      <c r="U23" s="87"/>
      <c r="V23" s="89"/>
      <c r="W23" s="90"/>
      <c r="X23" s="86" t="str">
        <f t="shared" si="33"/>
        <v>0h 00m</v>
      </c>
      <c r="Y23" s="91"/>
      <c r="Z23" s="201"/>
      <c r="AA23" s="86"/>
      <c r="AB23" s="86" t="str">
        <f t="shared" si="17"/>
        <v>0h 00m</v>
      </c>
      <c r="AC23" s="88"/>
      <c r="AD23" s="95"/>
      <c r="AE23" s="96"/>
      <c r="AF23" s="86" t="str">
        <f t="shared" si="18"/>
        <v>0h 00m</v>
      </c>
      <c r="AG23" s="88"/>
      <c r="AH23" s="95"/>
      <c r="AI23" s="96"/>
      <c r="AJ23" s="86" t="str">
        <f t="shared" si="19"/>
        <v>0h 00m</v>
      </c>
      <c r="AK23" s="88"/>
      <c r="AL23" s="95"/>
      <c r="AM23" s="96"/>
      <c r="AN23" s="86" t="str">
        <f t="shared" si="20"/>
        <v>0h 00m</v>
      </c>
      <c r="AO23" s="88"/>
      <c r="AP23" s="95"/>
      <c r="AQ23" s="96"/>
      <c r="AR23" s="86" t="str">
        <f t="shared" si="21"/>
        <v>0h 00m</v>
      </c>
      <c r="AS23" s="87"/>
      <c r="AT23" s="89"/>
      <c r="AU23" s="90"/>
      <c r="AV23" s="90" t="str">
        <f t="shared" si="1"/>
        <v>0h 00m</v>
      </c>
      <c r="AW23" s="91"/>
      <c r="AX23" s="146"/>
      <c r="AY23" s="96"/>
      <c r="AZ23" s="86" t="str">
        <f t="shared" si="22"/>
        <v>0h 00m</v>
      </c>
      <c r="BA23" s="87"/>
      <c r="BB23" s="89"/>
      <c r="BC23" s="90"/>
      <c r="BD23" s="167" t="str">
        <f t="shared" si="2"/>
        <v>0h 00m</v>
      </c>
      <c r="BE23" s="91"/>
      <c r="BF23" s="146"/>
      <c r="BG23" s="96"/>
      <c r="BH23" s="86" t="str">
        <f t="shared" si="24"/>
        <v>0h 00m</v>
      </c>
      <c r="BI23" s="88"/>
      <c r="BJ23" s="95"/>
      <c r="BK23" s="96"/>
      <c r="BL23" s="86" t="str">
        <f t="shared" si="25"/>
        <v>0h 00m</v>
      </c>
      <c r="BM23" s="88"/>
      <c r="BN23" s="95"/>
      <c r="BO23" s="96"/>
      <c r="BP23" s="86" t="str">
        <f t="shared" si="26"/>
        <v>0h 00m</v>
      </c>
      <c r="BQ23" s="88"/>
      <c r="BR23" s="95"/>
      <c r="BS23" s="96"/>
      <c r="BT23" s="86" t="str">
        <f t="shared" si="27"/>
        <v>0h 00m</v>
      </c>
      <c r="BU23" s="87"/>
      <c r="BV23" s="89"/>
      <c r="BW23" s="90"/>
      <c r="BX23" s="108" t="str">
        <f t="shared" si="7"/>
        <v>0h 00m</v>
      </c>
      <c r="BY23" s="91"/>
      <c r="BZ23" s="146"/>
      <c r="CA23" s="96"/>
      <c r="CB23" s="86" t="str">
        <f t="shared" si="29"/>
        <v>0h 00m</v>
      </c>
      <c r="CC23" s="88"/>
      <c r="CD23" s="89"/>
      <c r="CE23" s="90"/>
      <c r="CF23" s="86" t="str">
        <f t="shared" si="9"/>
        <v>0h 00m</v>
      </c>
      <c r="CG23" s="91"/>
      <c r="CH23" s="95"/>
      <c r="CI23" s="96"/>
      <c r="CJ23" s="86" t="str">
        <f t="shared" si="30"/>
        <v>0h 00m</v>
      </c>
      <c r="CK23" s="88"/>
      <c r="CL23" s="89"/>
      <c r="CM23" s="90"/>
      <c r="CN23" s="86" t="str">
        <f t="shared" si="31"/>
        <v>0h 00m</v>
      </c>
      <c r="CO23" s="88"/>
      <c r="CP23" s="95"/>
      <c r="CQ23" s="96"/>
      <c r="CR23" s="86" t="str">
        <f t="shared" si="32"/>
        <v>0h 00m</v>
      </c>
      <c r="CS23" s="88"/>
      <c r="CT23" s="100"/>
      <c r="CU23" s="100"/>
    </row>
    <row r="24" spans="1:99" ht="15" thickBot="1" x14ac:dyDescent="0.35">
      <c r="A24" s="2" t="s">
        <v>54</v>
      </c>
      <c r="B24" s="129">
        <v>0.30694444444444446</v>
      </c>
      <c r="C24" s="123"/>
      <c r="D24" s="8" t="str">
        <f>$P$21</f>
        <v>9h 54m</v>
      </c>
      <c r="E24" s="46"/>
      <c r="F24" s="129">
        <v>0.28611111111111109</v>
      </c>
      <c r="G24" s="123"/>
      <c r="H24" s="8" t="str">
        <f>$P$21</f>
        <v>9h 54m</v>
      </c>
      <c r="I24" s="170"/>
      <c r="J24" s="129">
        <v>0.2951388888888889</v>
      </c>
      <c r="K24" s="123"/>
      <c r="L24" s="182" t="e">
        <f t="shared" si="0"/>
        <v>#VALUE!</v>
      </c>
      <c r="M24" s="194"/>
      <c r="N24" s="144">
        <v>0.30555555555555558</v>
      </c>
      <c r="O24" s="134"/>
      <c r="P24" s="8" t="str">
        <f>$P$21</f>
        <v>9h 54m</v>
      </c>
      <c r="Q24" s="17"/>
      <c r="R24" s="16">
        <v>0.27291666666666664</v>
      </c>
      <c r="S24" s="12"/>
      <c r="T24" s="9" t="e">
        <f t="shared" si="23"/>
        <v>#VALUE!</v>
      </c>
      <c r="U24" s="51"/>
      <c r="V24" s="16">
        <v>0.28749999999999998</v>
      </c>
      <c r="W24" s="12"/>
      <c r="X24" s="9" t="e">
        <f t="shared" si="33"/>
        <v>#VALUE!</v>
      </c>
      <c r="Y24" s="53"/>
      <c r="Z24" s="200"/>
      <c r="AA24" s="9"/>
      <c r="AB24" s="9" t="str">
        <f t="shared" si="17"/>
        <v>0h 00m</v>
      </c>
      <c r="AC24" s="18"/>
      <c r="AD24" s="16">
        <v>0.29652777777777778</v>
      </c>
      <c r="AE24" s="10"/>
      <c r="AF24" s="9" t="e">
        <f t="shared" si="18"/>
        <v>#VALUE!</v>
      </c>
      <c r="AG24" s="18"/>
      <c r="AH24" s="16">
        <v>0.29652777777777778</v>
      </c>
      <c r="AI24" s="10"/>
      <c r="AJ24" s="9" t="e">
        <f t="shared" si="19"/>
        <v>#VALUE!</v>
      </c>
      <c r="AK24" s="18"/>
      <c r="AL24" s="16">
        <v>0.2986111111111111</v>
      </c>
      <c r="AM24" s="10"/>
      <c r="AN24" s="9" t="e">
        <f t="shared" si="20"/>
        <v>#VALUE!</v>
      </c>
      <c r="AO24" s="18"/>
      <c r="AP24" s="16"/>
      <c r="AQ24" s="10"/>
      <c r="AR24" s="9" t="str">
        <f t="shared" si="21"/>
        <v>0h 00m</v>
      </c>
      <c r="AS24" s="51"/>
      <c r="AT24" s="20"/>
      <c r="AU24" s="12"/>
      <c r="AV24" s="12" t="str">
        <f t="shared" si="1"/>
        <v>0h 00m</v>
      </c>
      <c r="AW24" s="53"/>
      <c r="AX24" s="143">
        <v>0.29166666666666669</v>
      </c>
      <c r="AY24" s="10"/>
      <c r="AZ24" s="9" t="e">
        <f t="shared" si="22"/>
        <v>#VALUE!</v>
      </c>
      <c r="BA24" s="51"/>
      <c r="BB24" s="16">
        <v>0.27083333333333331</v>
      </c>
      <c r="BC24" s="12"/>
      <c r="BD24" s="55" t="e">
        <f t="shared" si="2"/>
        <v>#VALUE!</v>
      </c>
      <c r="BE24" s="53"/>
      <c r="BF24" s="143">
        <v>0.30208333333333331</v>
      </c>
      <c r="BG24" s="10"/>
      <c r="BH24" s="9" t="e">
        <f t="shared" si="24"/>
        <v>#VALUE!</v>
      </c>
      <c r="BI24" s="18"/>
      <c r="BJ24" s="16">
        <v>0.3034722222222222</v>
      </c>
      <c r="BK24" s="10"/>
      <c r="BL24" s="9" t="e">
        <f t="shared" si="25"/>
        <v>#VALUE!</v>
      </c>
      <c r="BM24" s="18"/>
      <c r="BN24" s="16">
        <v>0.29652777777777778</v>
      </c>
      <c r="BO24" s="10"/>
      <c r="BP24" s="9" t="e">
        <f t="shared" si="26"/>
        <v>#VALUE!</v>
      </c>
      <c r="BQ24" s="18"/>
      <c r="BR24" s="16">
        <v>0.30208333333333331</v>
      </c>
      <c r="BS24" s="10"/>
      <c r="BT24" s="9" t="e">
        <f t="shared" si="27"/>
        <v>#VALUE!</v>
      </c>
      <c r="BU24" s="51"/>
      <c r="BV24" s="16">
        <v>0.2902777777777778</v>
      </c>
      <c r="BW24" s="12"/>
      <c r="BX24" s="36" t="e">
        <f t="shared" si="7"/>
        <v>#VALUE!</v>
      </c>
      <c r="BY24" s="53"/>
      <c r="BZ24" s="143">
        <v>0.29236111111111113</v>
      </c>
      <c r="CA24" s="10"/>
      <c r="CB24" s="9" t="e">
        <f t="shared" si="29"/>
        <v>#VALUE!</v>
      </c>
      <c r="CC24" s="18"/>
      <c r="CD24" s="233"/>
      <c r="CE24" s="234"/>
      <c r="CF24" s="9" t="str">
        <f t="shared" si="9"/>
        <v>0h 00m</v>
      </c>
      <c r="CG24" s="53"/>
      <c r="CH24" s="16"/>
      <c r="CI24" s="10"/>
      <c r="CJ24" s="9" t="str">
        <f t="shared" si="30"/>
        <v>0h 00m</v>
      </c>
      <c r="CK24" s="18"/>
      <c r="CL24" s="16"/>
      <c r="CM24" s="10"/>
      <c r="CN24" s="9" t="str">
        <f t="shared" si="31"/>
        <v>0h 00m</v>
      </c>
      <c r="CO24" s="18"/>
      <c r="CP24" s="16">
        <v>0.30138888888888887</v>
      </c>
      <c r="CQ24" s="10"/>
      <c r="CR24" s="9" t="e">
        <f t="shared" si="32"/>
        <v>#VALUE!</v>
      </c>
      <c r="CS24" s="18"/>
      <c r="CT24" s="22"/>
      <c r="CU24" s="22"/>
    </row>
    <row r="25" spans="1:99" ht="15" thickBot="1" x14ac:dyDescent="0.35">
      <c r="A25" s="2" t="s">
        <v>55</v>
      </c>
      <c r="B25" s="122"/>
      <c r="C25" s="123"/>
      <c r="D25" s="8" t="str">
        <f t="shared" ref="D25:D32" si="34">TEXT(C25-B25,"h""h ""mm""m""")</f>
        <v>0h 00m</v>
      </c>
      <c r="E25" s="46"/>
      <c r="F25" s="122"/>
      <c r="G25" s="123"/>
      <c r="H25" s="8" t="str">
        <f t="shared" si="14"/>
        <v>0h 00m</v>
      </c>
      <c r="I25" s="170"/>
      <c r="J25" s="122"/>
      <c r="K25" s="123"/>
      <c r="L25" s="182" t="str">
        <f t="shared" si="0"/>
        <v>0h 00m</v>
      </c>
      <c r="M25" s="194"/>
      <c r="N25" s="210"/>
      <c r="O25" s="134"/>
      <c r="P25" s="8" t="str">
        <f t="shared" si="15"/>
        <v>0h 00m</v>
      </c>
      <c r="Q25" s="17"/>
      <c r="R25" s="20"/>
      <c r="S25" s="12"/>
      <c r="T25" s="9" t="str">
        <f t="shared" si="23"/>
        <v>0h 00m</v>
      </c>
      <c r="U25" s="51"/>
      <c r="V25" s="20"/>
      <c r="W25" s="12"/>
      <c r="X25" s="9" t="str">
        <f t="shared" si="33"/>
        <v>0h 00m</v>
      </c>
      <c r="Y25" s="53"/>
      <c r="Z25" s="200"/>
      <c r="AA25" s="9"/>
      <c r="AB25" s="9" t="str">
        <f t="shared" si="17"/>
        <v>0h 00m</v>
      </c>
      <c r="AC25" s="18"/>
      <c r="AD25" s="16"/>
      <c r="AE25" s="10"/>
      <c r="AF25" s="9" t="str">
        <f t="shared" si="18"/>
        <v>0h 00m</v>
      </c>
      <c r="AG25" s="18"/>
      <c r="AH25" s="16"/>
      <c r="AI25" s="10"/>
      <c r="AJ25" s="9" t="str">
        <f t="shared" si="19"/>
        <v>0h 00m</v>
      </c>
      <c r="AK25" s="18"/>
      <c r="AL25" s="16"/>
      <c r="AM25" s="10"/>
      <c r="AN25" s="12" t="str">
        <f t="shared" si="20"/>
        <v>0h 00m</v>
      </c>
      <c r="AO25" s="18"/>
      <c r="AP25" s="16"/>
      <c r="AQ25" s="10"/>
      <c r="AR25" s="9" t="str">
        <f t="shared" si="21"/>
        <v>0h 00m</v>
      </c>
      <c r="AS25" s="51"/>
      <c r="AT25" s="20"/>
      <c r="AU25" s="12"/>
      <c r="AV25" s="12" t="str">
        <f t="shared" si="1"/>
        <v>0h 00m</v>
      </c>
      <c r="AW25" s="53"/>
      <c r="AX25" s="143"/>
      <c r="AY25" s="10"/>
      <c r="AZ25" s="9" t="str">
        <f t="shared" si="22"/>
        <v>0h 00m</v>
      </c>
      <c r="BA25" s="51"/>
      <c r="BB25" s="20"/>
      <c r="BC25" s="12"/>
      <c r="BD25" s="55" t="str">
        <f t="shared" si="2"/>
        <v>0h 00m</v>
      </c>
      <c r="BE25" s="53"/>
      <c r="BF25" s="143"/>
      <c r="BG25" s="10"/>
      <c r="BH25" s="9" t="str">
        <f t="shared" si="24"/>
        <v>0h 00m</v>
      </c>
      <c r="BI25" s="18"/>
      <c r="BJ25" s="16"/>
      <c r="BK25" s="10"/>
      <c r="BL25" s="9" t="str">
        <f t="shared" si="25"/>
        <v>0h 00m</v>
      </c>
      <c r="BM25" s="18"/>
      <c r="BN25" s="16"/>
      <c r="BO25" s="10"/>
      <c r="BP25" s="9" t="str">
        <f t="shared" si="26"/>
        <v>0h 00m</v>
      </c>
      <c r="BQ25" s="18"/>
      <c r="BR25" s="16"/>
      <c r="BS25" s="10"/>
      <c r="BT25" s="9" t="str">
        <f t="shared" si="27"/>
        <v>0h 00m</v>
      </c>
      <c r="BU25" s="51"/>
      <c r="BV25" s="20"/>
      <c r="BW25" s="12"/>
      <c r="BX25" s="36" t="str">
        <f t="shared" si="7"/>
        <v>0h 00m</v>
      </c>
      <c r="BY25" s="53"/>
      <c r="BZ25" s="143"/>
      <c r="CA25" s="10"/>
      <c r="CB25" s="9" t="str">
        <f t="shared" si="29"/>
        <v>0h 00m</v>
      </c>
      <c r="CC25" s="18"/>
      <c r="CD25" s="20"/>
      <c r="CE25" s="12"/>
      <c r="CF25" s="9" t="str">
        <f t="shared" si="9"/>
        <v>0h 00m</v>
      </c>
      <c r="CG25" s="53"/>
      <c r="CH25" s="16"/>
      <c r="CI25" s="10"/>
      <c r="CJ25" s="9" t="str">
        <f t="shared" si="30"/>
        <v>0h 00m</v>
      </c>
      <c r="CK25" s="18"/>
      <c r="CL25" s="20"/>
      <c r="CM25" s="12"/>
      <c r="CN25" s="9" t="str">
        <f t="shared" si="31"/>
        <v>0h 00m</v>
      </c>
      <c r="CO25" s="18"/>
      <c r="CP25" s="16"/>
      <c r="CQ25" s="10"/>
      <c r="CR25" s="9" t="str">
        <f t="shared" si="32"/>
        <v>0h 00m</v>
      </c>
      <c r="CS25" s="18"/>
      <c r="CT25" s="22"/>
      <c r="CU25" s="22"/>
    </row>
    <row r="26" spans="1:99" ht="15" thickBot="1" x14ac:dyDescent="0.35">
      <c r="A26" s="2" t="s">
        <v>56</v>
      </c>
      <c r="B26" s="122"/>
      <c r="C26" s="123"/>
      <c r="D26" s="9" t="str">
        <f t="shared" si="34"/>
        <v>0h 00m</v>
      </c>
      <c r="E26" s="46"/>
      <c r="F26" s="122"/>
      <c r="G26" s="123"/>
      <c r="H26" s="9" t="str">
        <f t="shared" si="14"/>
        <v>0h 00m</v>
      </c>
      <c r="I26" s="170"/>
      <c r="J26" s="122"/>
      <c r="K26" s="123"/>
      <c r="L26" s="182" t="str">
        <f t="shared" si="0"/>
        <v>0h 00m</v>
      </c>
      <c r="M26" s="194"/>
      <c r="N26" s="210"/>
      <c r="O26" s="134"/>
      <c r="P26" s="9" t="str">
        <f t="shared" si="15"/>
        <v>0h 00m</v>
      </c>
      <c r="Q26" s="18"/>
      <c r="R26" s="20"/>
      <c r="S26" s="12"/>
      <c r="T26" s="9" t="str">
        <f t="shared" si="23"/>
        <v>0h 00m</v>
      </c>
      <c r="U26" s="51"/>
      <c r="V26" s="20"/>
      <c r="W26" s="12"/>
      <c r="X26" s="9" t="str">
        <f t="shared" si="33"/>
        <v>0h 00m</v>
      </c>
      <c r="Y26" s="53"/>
      <c r="Z26" s="200"/>
      <c r="AA26" s="9"/>
      <c r="AB26" s="9" t="str">
        <f t="shared" si="17"/>
        <v>0h 00m</v>
      </c>
      <c r="AC26" s="18"/>
      <c r="AD26" s="16"/>
      <c r="AE26" s="10"/>
      <c r="AF26" s="9" t="str">
        <f t="shared" si="18"/>
        <v>0h 00m</v>
      </c>
      <c r="AG26" s="18"/>
      <c r="AH26" s="16"/>
      <c r="AI26" s="10"/>
      <c r="AJ26" s="9" t="str">
        <f t="shared" si="19"/>
        <v>0h 00m</v>
      </c>
      <c r="AK26" s="18"/>
      <c r="AL26" s="16"/>
      <c r="AM26" s="10"/>
      <c r="AN26" s="12" t="str">
        <f t="shared" si="20"/>
        <v>0h 00m</v>
      </c>
      <c r="AO26" s="18"/>
      <c r="AP26" s="16"/>
      <c r="AQ26" s="10"/>
      <c r="AR26" s="12" t="str">
        <f t="shared" si="21"/>
        <v>0h 00m</v>
      </c>
      <c r="AS26" s="51"/>
      <c r="AT26" s="20"/>
      <c r="AU26" s="12"/>
      <c r="AV26" s="12" t="str">
        <f t="shared" si="1"/>
        <v>0h 00m</v>
      </c>
      <c r="AW26" s="53"/>
      <c r="AX26" s="143"/>
      <c r="AY26" s="10"/>
      <c r="AZ26" s="9" t="str">
        <f t="shared" si="22"/>
        <v>0h 00m</v>
      </c>
      <c r="BA26" s="51"/>
      <c r="BB26" s="20"/>
      <c r="BC26" s="12"/>
      <c r="BD26" s="55" t="str">
        <f t="shared" si="2"/>
        <v>0h 00m</v>
      </c>
      <c r="BE26" s="53"/>
      <c r="BF26" s="143"/>
      <c r="BG26" s="10"/>
      <c r="BH26" s="9" t="str">
        <f t="shared" si="24"/>
        <v>0h 00m</v>
      </c>
      <c r="BI26" s="18"/>
      <c r="BJ26" s="16"/>
      <c r="BK26" s="10"/>
      <c r="BL26" s="12" t="str">
        <f t="shared" si="25"/>
        <v>0h 00m</v>
      </c>
      <c r="BM26" s="18"/>
      <c r="BN26" s="16"/>
      <c r="BO26" s="10"/>
      <c r="BP26" s="9" t="str">
        <f t="shared" si="26"/>
        <v>0h 00m</v>
      </c>
      <c r="BQ26" s="18"/>
      <c r="BR26" s="16"/>
      <c r="BS26" s="10"/>
      <c r="BT26" s="9" t="str">
        <f t="shared" si="27"/>
        <v>0h 00m</v>
      </c>
      <c r="BU26" s="51"/>
      <c r="BV26" s="20"/>
      <c r="BW26" s="12"/>
      <c r="BX26" s="36" t="str">
        <f t="shared" si="7"/>
        <v>0h 00m</v>
      </c>
      <c r="BY26" s="53"/>
      <c r="BZ26" s="143"/>
      <c r="CA26" s="10"/>
      <c r="CB26" s="12" t="str">
        <f t="shared" si="29"/>
        <v>0h 00m</v>
      </c>
      <c r="CC26" s="18"/>
      <c r="CD26" s="20"/>
      <c r="CE26" s="12"/>
      <c r="CF26" s="9" t="str">
        <f t="shared" si="9"/>
        <v>0h 00m</v>
      </c>
      <c r="CG26" s="53"/>
      <c r="CH26" s="16"/>
      <c r="CI26" s="10"/>
      <c r="CJ26" s="9" t="str">
        <f t="shared" si="30"/>
        <v>0h 00m</v>
      </c>
      <c r="CK26" s="18"/>
      <c r="CL26" s="16"/>
      <c r="CM26" s="10"/>
      <c r="CN26" s="9" t="str">
        <f t="shared" si="31"/>
        <v>0h 00m</v>
      </c>
      <c r="CO26" s="18"/>
      <c r="CP26" s="16"/>
      <c r="CQ26" s="10"/>
      <c r="CR26" s="12" t="str">
        <f t="shared" si="32"/>
        <v>0h 00m</v>
      </c>
      <c r="CS26" s="18"/>
      <c r="CT26" s="22"/>
      <c r="CU26" s="22"/>
    </row>
    <row r="27" spans="1:99" ht="15" thickBot="1" x14ac:dyDescent="0.35">
      <c r="A27" s="2" t="s">
        <v>57</v>
      </c>
      <c r="B27" s="122"/>
      <c r="C27" s="123"/>
      <c r="D27" s="9" t="str">
        <f t="shared" si="34"/>
        <v>0h 00m</v>
      </c>
      <c r="E27" s="46"/>
      <c r="F27" s="122"/>
      <c r="G27" s="123"/>
      <c r="H27" s="9" t="str">
        <f t="shared" si="14"/>
        <v>0h 00m</v>
      </c>
      <c r="I27" s="170"/>
      <c r="J27" s="122"/>
      <c r="K27" s="123"/>
      <c r="L27" s="182" t="str">
        <f t="shared" si="0"/>
        <v>0h 00m</v>
      </c>
      <c r="M27" s="194"/>
      <c r="N27" s="210"/>
      <c r="O27" s="134"/>
      <c r="P27" s="9" t="str">
        <f t="shared" si="15"/>
        <v>0h 00m</v>
      </c>
      <c r="Q27" s="18"/>
      <c r="R27" s="20"/>
      <c r="S27" s="12"/>
      <c r="T27" s="9" t="str">
        <f t="shared" si="23"/>
        <v>0h 00m</v>
      </c>
      <c r="U27" s="51"/>
      <c r="V27" s="20"/>
      <c r="W27" s="12"/>
      <c r="X27" s="9" t="str">
        <f t="shared" si="33"/>
        <v>0h 00m</v>
      </c>
      <c r="Y27" s="53"/>
      <c r="Z27" s="200"/>
      <c r="AA27" s="9"/>
      <c r="AB27" s="9" t="str">
        <f t="shared" si="17"/>
        <v>0h 00m</v>
      </c>
      <c r="AC27" s="18"/>
      <c r="AD27" s="16"/>
      <c r="AE27" s="10"/>
      <c r="AF27" s="12" t="str">
        <f t="shared" si="18"/>
        <v>0h 00m</v>
      </c>
      <c r="AG27" s="18"/>
      <c r="AH27" s="16"/>
      <c r="AI27" s="10"/>
      <c r="AJ27" s="12" t="str">
        <f t="shared" si="19"/>
        <v>0h 00m</v>
      </c>
      <c r="AK27" s="18"/>
      <c r="AL27" s="16"/>
      <c r="AM27" s="10"/>
      <c r="AN27" s="12" t="str">
        <f t="shared" si="20"/>
        <v>0h 00m</v>
      </c>
      <c r="AO27" s="18"/>
      <c r="AP27" s="16"/>
      <c r="AQ27" s="10"/>
      <c r="AR27" s="12" t="str">
        <f t="shared" si="21"/>
        <v>0h 00m</v>
      </c>
      <c r="AS27" s="51"/>
      <c r="AT27" s="20"/>
      <c r="AU27" s="12"/>
      <c r="AV27" s="12" t="str">
        <f t="shared" si="1"/>
        <v>0h 00m</v>
      </c>
      <c r="AW27" s="53"/>
      <c r="AX27" s="143"/>
      <c r="AY27" s="10"/>
      <c r="AZ27" s="12" t="str">
        <f t="shared" si="22"/>
        <v>0h 00m</v>
      </c>
      <c r="BA27" s="51"/>
      <c r="BB27" s="20"/>
      <c r="BC27" s="12"/>
      <c r="BD27" s="55" t="str">
        <f t="shared" si="2"/>
        <v>0h 00m</v>
      </c>
      <c r="BE27" s="53"/>
      <c r="BF27" s="143"/>
      <c r="BG27" s="10"/>
      <c r="BH27" s="12" t="str">
        <f t="shared" si="24"/>
        <v>0h 00m</v>
      </c>
      <c r="BI27" s="18"/>
      <c r="BJ27" s="16"/>
      <c r="BK27" s="10"/>
      <c r="BL27" s="12" t="str">
        <f t="shared" si="25"/>
        <v>0h 00m</v>
      </c>
      <c r="BM27" s="18"/>
      <c r="BN27" s="16"/>
      <c r="BO27" s="10"/>
      <c r="BP27" s="12" t="str">
        <f t="shared" si="26"/>
        <v>0h 00m</v>
      </c>
      <c r="BQ27" s="18"/>
      <c r="BR27" s="16"/>
      <c r="BS27" s="10"/>
      <c r="BT27" s="12" t="str">
        <f t="shared" si="27"/>
        <v>0h 00m</v>
      </c>
      <c r="BU27" s="51"/>
      <c r="BV27" s="20"/>
      <c r="BW27" s="12"/>
      <c r="BX27" s="36" t="str">
        <f t="shared" si="7"/>
        <v>0h 00m</v>
      </c>
      <c r="BY27" s="53"/>
      <c r="BZ27" s="143"/>
      <c r="CA27" s="10"/>
      <c r="CB27" s="12" t="str">
        <f t="shared" si="29"/>
        <v>0h 00m</v>
      </c>
      <c r="CC27" s="18"/>
      <c r="CD27" s="20"/>
      <c r="CE27" s="12"/>
      <c r="CF27" s="12" t="str">
        <f t="shared" si="9"/>
        <v>0h 00m</v>
      </c>
      <c r="CG27" s="53"/>
      <c r="CH27" s="16"/>
      <c r="CI27" s="10"/>
      <c r="CJ27" s="12" t="str">
        <f t="shared" si="30"/>
        <v>0h 00m</v>
      </c>
      <c r="CK27" s="18"/>
      <c r="CL27" s="20"/>
      <c r="CM27" s="12"/>
      <c r="CN27" s="12" t="str">
        <f t="shared" si="31"/>
        <v>0h 00m</v>
      </c>
      <c r="CO27" s="18"/>
      <c r="CP27" s="16"/>
      <c r="CQ27" s="10"/>
      <c r="CR27" s="12" t="str">
        <f t="shared" si="32"/>
        <v>0h 00m</v>
      </c>
      <c r="CS27" s="18"/>
      <c r="CT27" s="22"/>
      <c r="CU27" s="22"/>
    </row>
    <row r="28" spans="1:99" s="26" customFormat="1" ht="15" thickBot="1" x14ac:dyDescent="0.35">
      <c r="A28" s="3" t="s">
        <v>58</v>
      </c>
      <c r="B28" s="120"/>
      <c r="C28" s="121"/>
      <c r="D28" s="8" t="str">
        <f t="shared" si="34"/>
        <v>0h 00m</v>
      </c>
      <c r="E28" s="47"/>
      <c r="F28" s="120"/>
      <c r="G28" s="121"/>
      <c r="H28" s="8" t="str">
        <f t="shared" si="14"/>
        <v>0h 00m</v>
      </c>
      <c r="I28" s="171"/>
      <c r="J28" s="120"/>
      <c r="K28" s="121"/>
      <c r="L28" s="182" t="str">
        <f t="shared" si="0"/>
        <v>0h 00m</v>
      </c>
      <c r="M28" s="195"/>
      <c r="N28" s="210"/>
      <c r="O28" s="134"/>
      <c r="P28" s="8" t="str">
        <f t="shared" si="15"/>
        <v>0h 00m</v>
      </c>
      <c r="Q28" s="17"/>
      <c r="R28" s="20"/>
      <c r="S28" s="12"/>
      <c r="T28" s="9" t="str">
        <f t="shared" si="23"/>
        <v>0h 00m</v>
      </c>
      <c r="U28" s="51"/>
      <c r="V28" s="20"/>
      <c r="W28" s="12"/>
      <c r="X28" s="9" t="str">
        <f t="shared" si="33"/>
        <v>0h 00m</v>
      </c>
      <c r="Y28" s="53"/>
      <c r="Z28" s="200"/>
      <c r="AA28" s="9"/>
      <c r="AB28" s="9" t="str">
        <f t="shared" si="17"/>
        <v>0h 00m</v>
      </c>
      <c r="AC28" s="18"/>
      <c r="AD28" s="20"/>
      <c r="AE28" s="12"/>
      <c r="AF28" s="12" t="str">
        <f t="shared" si="18"/>
        <v>0h 00m</v>
      </c>
      <c r="AG28" s="18"/>
      <c r="AH28" s="27"/>
      <c r="AI28" s="28"/>
      <c r="AJ28" s="12" t="str">
        <f t="shared" si="19"/>
        <v>0h 00m</v>
      </c>
      <c r="AK28" s="18"/>
      <c r="AL28" s="27"/>
      <c r="AM28" s="28"/>
      <c r="AN28" s="12" t="str">
        <f t="shared" si="20"/>
        <v>0h 00m</v>
      </c>
      <c r="AO28" s="18"/>
      <c r="AP28" s="27"/>
      <c r="AQ28" s="28"/>
      <c r="AR28" s="12" t="str">
        <f t="shared" si="21"/>
        <v>0h 00m</v>
      </c>
      <c r="AS28" s="51"/>
      <c r="AT28" s="20"/>
      <c r="AU28" s="12"/>
      <c r="AV28" s="12" t="str">
        <f t="shared" si="1"/>
        <v>0h 00m</v>
      </c>
      <c r="AW28" s="53"/>
      <c r="AX28" s="149"/>
      <c r="AY28" s="28"/>
      <c r="AZ28" s="12" t="str">
        <f t="shared" si="22"/>
        <v>0h 00m</v>
      </c>
      <c r="BA28" s="51"/>
      <c r="BB28" s="20"/>
      <c r="BC28" s="12"/>
      <c r="BD28" s="55" t="str">
        <f t="shared" si="2"/>
        <v>0h 00m</v>
      </c>
      <c r="BE28" s="53"/>
      <c r="BF28" s="149"/>
      <c r="BG28" s="28"/>
      <c r="BH28" s="12" t="str">
        <f t="shared" si="24"/>
        <v>0h 00m</v>
      </c>
      <c r="BI28" s="18"/>
      <c r="BJ28" s="20"/>
      <c r="BK28" s="12"/>
      <c r="BL28" s="12" t="str">
        <f t="shared" si="25"/>
        <v>0h 00m</v>
      </c>
      <c r="BM28" s="18"/>
      <c r="BN28" s="20"/>
      <c r="BO28" s="12"/>
      <c r="BP28" s="12" t="str">
        <f t="shared" si="26"/>
        <v>0h 00m</v>
      </c>
      <c r="BQ28" s="18"/>
      <c r="BR28" s="27"/>
      <c r="BS28" s="28"/>
      <c r="BT28" s="12" t="str">
        <f t="shared" si="27"/>
        <v>0h 00m</v>
      </c>
      <c r="BU28" s="51"/>
      <c r="BV28" s="20"/>
      <c r="BW28" s="12"/>
      <c r="BX28" s="36" t="str">
        <f t="shared" si="7"/>
        <v>0h 00m</v>
      </c>
      <c r="BY28" s="53"/>
      <c r="BZ28" s="149"/>
      <c r="CA28" s="28"/>
      <c r="CB28" s="12" t="str">
        <f t="shared" si="29"/>
        <v>0h 00m</v>
      </c>
      <c r="CC28" s="18"/>
      <c r="CD28" s="20"/>
      <c r="CE28" s="12"/>
      <c r="CF28" s="12" t="str">
        <f t="shared" si="9"/>
        <v>0h 00m</v>
      </c>
      <c r="CG28" s="53"/>
      <c r="CH28" s="27"/>
      <c r="CI28" s="28"/>
      <c r="CJ28" s="12" t="str">
        <f t="shared" si="30"/>
        <v>0h 00m</v>
      </c>
      <c r="CK28" s="18"/>
      <c r="CL28" s="27"/>
      <c r="CM28" s="28"/>
      <c r="CN28" s="12" t="str">
        <f t="shared" si="31"/>
        <v>0h 00m</v>
      </c>
      <c r="CO28" s="18"/>
      <c r="CP28" s="27"/>
      <c r="CQ28" s="28"/>
      <c r="CR28" s="12" t="str">
        <f t="shared" si="32"/>
        <v>0h 00m</v>
      </c>
      <c r="CS28" s="18"/>
      <c r="CT28" s="23"/>
      <c r="CU28" s="23"/>
    </row>
    <row r="29" spans="1:99" s="26" customFormat="1" ht="15" thickBot="1" x14ac:dyDescent="0.35">
      <c r="A29" s="101" t="s">
        <v>59</v>
      </c>
      <c r="B29" s="118"/>
      <c r="C29" s="119"/>
      <c r="D29" s="102" t="str">
        <f t="shared" si="34"/>
        <v>0h 00m</v>
      </c>
      <c r="E29" s="103"/>
      <c r="F29" s="118"/>
      <c r="G29" s="119"/>
      <c r="H29" s="86" t="str">
        <f t="shared" si="14"/>
        <v>0h 00m</v>
      </c>
      <c r="I29" s="173"/>
      <c r="J29" s="179"/>
      <c r="K29" s="177"/>
      <c r="L29" s="102" t="str">
        <f t="shared" si="0"/>
        <v>0h 00m</v>
      </c>
      <c r="M29" s="113"/>
      <c r="N29" s="211"/>
      <c r="O29" s="212"/>
      <c r="P29" s="102" t="str">
        <f t="shared" si="15"/>
        <v>0h 00m</v>
      </c>
      <c r="Q29" s="106"/>
      <c r="R29" s="107"/>
      <c r="S29" s="108"/>
      <c r="T29" s="86" t="str">
        <f t="shared" si="23"/>
        <v>0h 00m</v>
      </c>
      <c r="U29" s="109"/>
      <c r="V29" s="89"/>
      <c r="W29" s="90"/>
      <c r="X29" s="86" t="str">
        <f t="shared" si="33"/>
        <v>0h 00m</v>
      </c>
      <c r="Y29" s="91"/>
      <c r="Z29" s="202"/>
      <c r="AA29" s="127"/>
      <c r="AB29" s="90" t="str">
        <f t="shared" si="17"/>
        <v>0h 00m</v>
      </c>
      <c r="AC29" s="110"/>
      <c r="AD29" s="107"/>
      <c r="AE29" s="108"/>
      <c r="AF29" s="90" t="str">
        <f t="shared" si="18"/>
        <v>0h 00m</v>
      </c>
      <c r="AG29" s="110"/>
      <c r="AH29" s="104"/>
      <c r="AI29" s="105"/>
      <c r="AJ29" s="90" t="str">
        <f t="shared" si="19"/>
        <v>0h 00m</v>
      </c>
      <c r="AK29" s="110"/>
      <c r="AL29" s="104"/>
      <c r="AM29" s="105"/>
      <c r="AN29" s="90" t="str">
        <f t="shared" si="20"/>
        <v>0h 00m</v>
      </c>
      <c r="AO29" s="110"/>
      <c r="AP29" s="104"/>
      <c r="AQ29" s="105"/>
      <c r="AR29" s="90" t="str">
        <f t="shared" si="21"/>
        <v>0h 00m</v>
      </c>
      <c r="AS29" s="109"/>
      <c r="AT29" s="89"/>
      <c r="AU29" s="90"/>
      <c r="AV29" s="90" t="str">
        <f t="shared" si="1"/>
        <v>0h 00m</v>
      </c>
      <c r="AW29" s="91"/>
      <c r="AX29" s="150"/>
      <c r="AY29" s="105"/>
      <c r="AZ29" s="90" t="str">
        <f t="shared" si="22"/>
        <v>0h 00m</v>
      </c>
      <c r="BA29" s="109"/>
      <c r="BB29" s="89"/>
      <c r="BC29" s="90"/>
      <c r="BD29" s="167" t="str">
        <f t="shared" si="2"/>
        <v>0h 00m</v>
      </c>
      <c r="BE29" s="91"/>
      <c r="BF29" s="150"/>
      <c r="BG29" s="105"/>
      <c r="BH29" s="90" t="str">
        <f t="shared" si="24"/>
        <v>0h 00m</v>
      </c>
      <c r="BI29" s="110"/>
      <c r="BJ29" s="107"/>
      <c r="BK29" s="108"/>
      <c r="BL29" s="90" t="str">
        <f t="shared" si="25"/>
        <v>0h 00m</v>
      </c>
      <c r="BM29" s="110"/>
      <c r="BN29" s="107"/>
      <c r="BO29" s="108"/>
      <c r="BP29" s="90" t="str">
        <f t="shared" si="26"/>
        <v>0h 00m</v>
      </c>
      <c r="BQ29" s="110"/>
      <c r="BR29" s="107"/>
      <c r="BS29" s="108"/>
      <c r="BT29" s="90" t="str">
        <f t="shared" si="27"/>
        <v>0h 00m</v>
      </c>
      <c r="BU29" s="109"/>
      <c r="BV29" s="89"/>
      <c r="BW29" s="90"/>
      <c r="BX29" s="108" t="str">
        <f t="shared" si="7"/>
        <v>0h 00m</v>
      </c>
      <c r="BY29" s="91"/>
      <c r="BZ29" s="150"/>
      <c r="CA29" s="105"/>
      <c r="CB29" s="90" t="str">
        <f t="shared" si="29"/>
        <v>0h 00m</v>
      </c>
      <c r="CC29" s="110"/>
      <c r="CD29" s="89"/>
      <c r="CE29" s="90"/>
      <c r="CF29" s="90" t="str">
        <f t="shared" si="9"/>
        <v>0h 00m</v>
      </c>
      <c r="CG29" s="91"/>
      <c r="CH29" s="104"/>
      <c r="CI29" s="105"/>
      <c r="CJ29" s="90" t="str">
        <f t="shared" si="30"/>
        <v>0h 00m</v>
      </c>
      <c r="CK29" s="110"/>
      <c r="CL29" s="104"/>
      <c r="CM29" s="105"/>
      <c r="CN29" s="90" t="str">
        <f t="shared" si="31"/>
        <v>0h 00m</v>
      </c>
      <c r="CO29" s="110"/>
      <c r="CP29" s="104"/>
      <c r="CQ29" s="105"/>
      <c r="CR29" s="90" t="str">
        <f t="shared" si="32"/>
        <v>0h 00m</v>
      </c>
      <c r="CS29" s="110"/>
      <c r="CT29" s="111"/>
      <c r="CU29" s="111"/>
    </row>
    <row r="30" spans="1:99" s="26" customFormat="1" ht="15" thickBot="1" x14ac:dyDescent="0.35">
      <c r="A30" s="112" t="s">
        <v>60</v>
      </c>
      <c r="B30" s="118"/>
      <c r="C30" s="119"/>
      <c r="D30" s="86" t="str">
        <f t="shared" si="34"/>
        <v>0h 00m</v>
      </c>
      <c r="E30" s="113"/>
      <c r="F30" s="118"/>
      <c r="G30" s="119"/>
      <c r="H30" s="86" t="str">
        <f t="shared" si="14"/>
        <v>0h 00m</v>
      </c>
      <c r="I30" s="174"/>
      <c r="J30" s="179"/>
      <c r="K30" s="177"/>
      <c r="L30" s="102" t="str">
        <f t="shared" si="0"/>
        <v>0h 00m</v>
      </c>
      <c r="M30" s="113"/>
      <c r="N30" s="145"/>
      <c r="O30" s="84"/>
      <c r="P30" s="90" t="str">
        <f t="shared" si="15"/>
        <v>0h 00m</v>
      </c>
      <c r="Q30" s="116"/>
      <c r="R30" s="89"/>
      <c r="S30" s="90"/>
      <c r="T30" s="86" t="str">
        <f t="shared" si="23"/>
        <v>0h 00m</v>
      </c>
      <c r="U30" s="117"/>
      <c r="V30" s="89"/>
      <c r="W30" s="90"/>
      <c r="X30" s="86" t="str">
        <f t="shared" si="33"/>
        <v>0h 00m</v>
      </c>
      <c r="Y30" s="91"/>
      <c r="Z30" s="148"/>
      <c r="AA30" s="90"/>
      <c r="AB30" s="90" t="str">
        <f t="shared" si="17"/>
        <v>0h 00m</v>
      </c>
      <c r="AC30" s="91"/>
      <c r="AD30" s="89"/>
      <c r="AE30" s="90"/>
      <c r="AF30" s="90" t="str">
        <f t="shared" si="18"/>
        <v>0h 00m</v>
      </c>
      <c r="AG30" s="91"/>
      <c r="AH30" s="114"/>
      <c r="AI30" s="115"/>
      <c r="AJ30" s="90" t="str">
        <f t="shared" si="19"/>
        <v>0h 00m</v>
      </c>
      <c r="AK30" s="91"/>
      <c r="AL30" s="114"/>
      <c r="AM30" s="115"/>
      <c r="AN30" s="90" t="str">
        <f t="shared" si="20"/>
        <v>0h 00m</v>
      </c>
      <c r="AO30" s="91"/>
      <c r="AP30" s="114"/>
      <c r="AQ30" s="115"/>
      <c r="AR30" s="90" t="str">
        <f t="shared" si="21"/>
        <v>0h 00m</v>
      </c>
      <c r="AS30" s="117"/>
      <c r="AT30" s="89"/>
      <c r="AU30" s="90"/>
      <c r="AV30" s="90" t="str">
        <f t="shared" si="1"/>
        <v>0h 00m</v>
      </c>
      <c r="AW30" s="91"/>
      <c r="AX30" s="151"/>
      <c r="AY30" s="115"/>
      <c r="AZ30" s="90" t="str">
        <f t="shared" si="22"/>
        <v>0h 00m</v>
      </c>
      <c r="BA30" s="117"/>
      <c r="BB30" s="89"/>
      <c r="BC30" s="90"/>
      <c r="BD30" s="167" t="str">
        <f t="shared" si="2"/>
        <v>0h 00m</v>
      </c>
      <c r="BE30" s="91"/>
      <c r="BF30" s="151"/>
      <c r="BG30" s="115"/>
      <c r="BH30" s="90" t="str">
        <f t="shared" si="24"/>
        <v>0h 00m</v>
      </c>
      <c r="BI30" s="91"/>
      <c r="BJ30" s="89"/>
      <c r="BK30" s="90"/>
      <c r="BL30" s="90" t="str">
        <f t="shared" si="25"/>
        <v>0h 00m</v>
      </c>
      <c r="BM30" s="91"/>
      <c r="BN30" s="89"/>
      <c r="BO30" s="90"/>
      <c r="BP30" s="90" t="str">
        <f t="shared" si="26"/>
        <v>0h 00m</v>
      </c>
      <c r="BQ30" s="91"/>
      <c r="BR30" s="89"/>
      <c r="BS30" s="90"/>
      <c r="BT30" s="90" t="str">
        <f t="shared" si="27"/>
        <v>0h 00m</v>
      </c>
      <c r="BU30" s="117"/>
      <c r="BV30" s="89"/>
      <c r="BW30" s="90"/>
      <c r="BX30" s="108" t="str">
        <f t="shared" si="7"/>
        <v>0h 00m</v>
      </c>
      <c r="BY30" s="91"/>
      <c r="BZ30" s="151"/>
      <c r="CA30" s="115"/>
      <c r="CB30" s="90" t="str">
        <f t="shared" si="29"/>
        <v>0h 00m</v>
      </c>
      <c r="CC30" s="91"/>
      <c r="CD30" s="89"/>
      <c r="CE30" s="90"/>
      <c r="CF30" s="90" t="str">
        <f t="shared" si="9"/>
        <v>0h 00m</v>
      </c>
      <c r="CG30" s="91"/>
      <c r="CH30" s="114"/>
      <c r="CI30" s="115"/>
      <c r="CJ30" s="90" t="str">
        <f t="shared" si="30"/>
        <v>0h 00m</v>
      </c>
      <c r="CK30" s="91"/>
      <c r="CL30" s="114"/>
      <c r="CM30" s="115"/>
      <c r="CN30" s="90" t="str">
        <f t="shared" si="31"/>
        <v>0h 00m</v>
      </c>
      <c r="CO30" s="91"/>
      <c r="CP30" s="114"/>
      <c r="CQ30" s="115"/>
      <c r="CR30" s="90" t="str">
        <f t="shared" si="32"/>
        <v>0h 00m</v>
      </c>
      <c r="CS30" s="91"/>
      <c r="CT30" s="100"/>
      <c r="CU30" s="100"/>
    </row>
    <row r="31" spans="1:99" s="26" customFormat="1" ht="15" thickBot="1" x14ac:dyDescent="0.35">
      <c r="A31" s="38" t="s">
        <v>61</v>
      </c>
      <c r="B31" s="120"/>
      <c r="C31" s="121"/>
      <c r="D31" s="8" t="str">
        <f t="shared" si="34"/>
        <v>0h 00m</v>
      </c>
      <c r="E31" s="48"/>
      <c r="F31" s="120"/>
      <c r="G31" s="121"/>
      <c r="H31" s="8" t="str">
        <f t="shared" si="14"/>
        <v>0h 00m</v>
      </c>
      <c r="I31" s="175"/>
      <c r="J31" s="180"/>
      <c r="K31" s="178"/>
      <c r="L31" s="182" t="str">
        <f t="shared" si="0"/>
        <v>0h 00m</v>
      </c>
      <c r="M31" s="48"/>
      <c r="N31" s="210"/>
      <c r="O31" s="134"/>
      <c r="P31" s="8" t="str">
        <f t="shared" si="15"/>
        <v>0h 00m</v>
      </c>
      <c r="Q31" s="58"/>
      <c r="R31" s="20"/>
      <c r="S31" s="12"/>
      <c r="T31" s="9" t="str">
        <f t="shared" si="23"/>
        <v>0h 00m</v>
      </c>
      <c r="U31" s="52"/>
      <c r="V31" s="20"/>
      <c r="W31" s="12"/>
      <c r="X31" s="9" t="str">
        <f t="shared" si="33"/>
        <v>0h 00m</v>
      </c>
      <c r="Y31" s="53"/>
      <c r="Z31" s="147"/>
      <c r="AA31" s="12"/>
      <c r="AB31" s="9" t="str">
        <f t="shared" si="17"/>
        <v>0h 00m</v>
      </c>
      <c r="AC31" s="53"/>
      <c r="AD31" s="20"/>
      <c r="AE31" s="12"/>
      <c r="AF31" s="12" t="str">
        <f t="shared" si="18"/>
        <v>0h 00m</v>
      </c>
      <c r="AG31" s="53"/>
      <c r="AH31" s="27"/>
      <c r="AI31" s="28"/>
      <c r="AJ31" s="12" t="str">
        <f t="shared" si="19"/>
        <v>0h 00m</v>
      </c>
      <c r="AK31" s="53"/>
      <c r="AL31" s="27"/>
      <c r="AM31" s="28"/>
      <c r="AN31" s="12" t="str">
        <f t="shared" si="20"/>
        <v>0h 00m</v>
      </c>
      <c r="AO31" s="53"/>
      <c r="AP31" s="27"/>
      <c r="AQ31" s="28"/>
      <c r="AR31" s="12" t="str">
        <f t="shared" si="21"/>
        <v>0h 00m</v>
      </c>
      <c r="AS31" s="52"/>
      <c r="AT31" s="20"/>
      <c r="AU31" s="12"/>
      <c r="AV31" s="12" t="str">
        <f t="shared" ref="AV31:AV32" si="35">TEXT(AU31-AT31,"h""h ""mm""m""")</f>
        <v>0h 00m</v>
      </c>
      <c r="AW31" s="53"/>
      <c r="AX31" s="147"/>
      <c r="AY31" s="12"/>
      <c r="AZ31" s="12" t="str">
        <f t="shared" si="22"/>
        <v>0h 00m</v>
      </c>
      <c r="BA31" s="52"/>
      <c r="BB31" s="20"/>
      <c r="BC31" s="12"/>
      <c r="BD31" s="55" t="str">
        <f t="shared" si="2"/>
        <v>0h 00m</v>
      </c>
      <c r="BE31" s="53"/>
      <c r="BF31" s="149"/>
      <c r="BG31" s="28"/>
      <c r="BH31" s="12" t="str">
        <f t="shared" si="24"/>
        <v>0h 00m</v>
      </c>
      <c r="BI31" s="53"/>
      <c r="BJ31" s="20"/>
      <c r="BK31" s="12"/>
      <c r="BL31" s="12" t="str">
        <f t="shared" si="25"/>
        <v>0h 00m</v>
      </c>
      <c r="BM31" s="53"/>
      <c r="BN31" s="20"/>
      <c r="BO31" s="12"/>
      <c r="BP31" s="12" t="str">
        <f t="shared" si="26"/>
        <v>0h 00m</v>
      </c>
      <c r="BQ31" s="53"/>
      <c r="BR31" s="20"/>
      <c r="BS31" s="12"/>
      <c r="BT31" s="12" t="str">
        <f t="shared" si="27"/>
        <v>0h 00m</v>
      </c>
      <c r="BU31" s="52"/>
      <c r="BV31" s="20"/>
      <c r="BW31" s="12"/>
      <c r="BX31" s="36" t="str">
        <f t="shared" si="7"/>
        <v>0h 00m</v>
      </c>
      <c r="BY31" s="53"/>
      <c r="BZ31" s="149"/>
      <c r="CA31" s="28"/>
      <c r="CB31" s="12" t="str">
        <f t="shared" si="29"/>
        <v>0h 00m</v>
      </c>
      <c r="CC31" s="53"/>
      <c r="CD31" s="20"/>
      <c r="CE31" s="12"/>
      <c r="CF31" s="12" t="str">
        <f t="shared" si="9"/>
        <v>0h 00m</v>
      </c>
      <c r="CG31" s="53"/>
      <c r="CH31" s="27"/>
      <c r="CI31" s="28"/>
      <c r="CJ31" s="12" t="str">
        <f t="shared" si="30"/>
        <v>0h 00m</v>
      </c>
      <c r="CK31" s="53"/>
      <c r="CL31" s="27"/>
      <c r="CM31" s="28"/>
      <c r="CN31" s="12" t="str">
        <f t="shared" si="31"/>
        <v>0h 00m</v>
      </c>
      <c r="CO31" s="53"/>
      <c r="CP31" s="27"/>
      <c r="CQ31" s="28"/>
      <c r="CR31" s="12" t="str">
        <f t="shared" si="32"/>
        <v>0h 00m</v>
      </c>
      <c r="CS31" s="53"/>
      <c r="CT31" s="23"/>
      <c r="CU31" s="23"/>
    </row>
    <row r="32" spans="1:99" s="26" customFormat="1" ht="15" thickBot="1" x14ac:dyDescent="0.35">
      <c r="A32" s="39" t="s">
        <v>62</v>
      </c>
      <c r="B32" s="124"/>
      <c r="C32" s="125"/>
      <c r="D32" s="35" t="str">
        <f t="shared" si="34"/>
        <v>0h 00m</v>
      </c>
      <c r="E32" s="50"/>
      <c r="F32" s="124"/>
      <c r="G32" s="125"/>
      <c r="H32" s="9" t="str">
        <f t="shared" si="14"/>
        <v>0h 00m</v>
      </c>
      <c r="I32" s="176"/>
      <c r="J32" s="186"/>
      <c r="K32" s="191"/>
      <c r="L32" s="183" t="str">
        <f t="shared" ref="L32" si="36">TEXT(K32-J32,"h""h ""mm""m""")</f>
        <v>0h 00m</v>
      </c>
      <c r="M32" s="181"/>
      <c r="N32" s="213"/>
      <c r="O32" s="214"/>
      <c r="P32" s="61" t="str">
        <f t="shared" si="15"/>
        <v>0h 00m</v>
      </c>
      <c r="Q32" s="62"/>
      <c r="R32" s="54"/>
      <c r="S32" s="55"/>
      <c r="T32" s="37" t="str">
        <f t="shared" si="23"/>
        <v>0h 00m</v>
      </c>
      <c r="U32" s="63"/>
      <c r="V32" s="54"/>
      <c r="W32" s="55"/>
      <c r="X32" s="207" t="str">
        <f t="shared" si="33"/>
        <v>0h 00m</v>
      </c>
      <c r="Y32" s="56"/>
      <c r="Z32" s="203"/>
      <c r="AA32" s="55"/>
      <c r="AB32" s="37" t="str">
        <f t="shared" si="17"/>
        <v>0h 00m</v>
      </c>
      <c r="AC32" s="56"/>
      <c r="AD32" s="128"/>
      <c r="AE32" s="55"/>
      <c r="AF32" s="36" t="str">
        <f t="shared" si="18"/>
        <v>0h 00m</v>
      </c>
      <c r="AG32" s="56"/>
      <c r="AH32" s="59"/>
      <c r="AI32" s="60"/>
      <c r="AJ32" s="36" t="str">
        <f t="shared" si="19"/>
        <v>0h 00m</v>
      </c>
      <c r="AK32" s="56"/>
      <c r="AL32" s="59"/>
      <c r="AM32" s="60"/>
      <c r="AN32" s="36" t="str">
        <f t="shared" si="20"/>
        <v>0h 00m</v>
      </c>
      <c r="AO32" s="56"/>
      <c r="AP32" s="59"/>
      <c r="AQ32" s="60"/>
      <c r="AR32" s="36" t="str">
        <f t="shared" si="21"/>
        <v>0h 00m</v>
      </c>
      <c r="AS32" s="63"/>
      <c r="AT32" s="54"/>
      <c r="AU32" s="55"/>
      <c r="AV32" s="55" t="str">
        <f t="shared" si="35"/>
        <v>0h 00m</v>
      </c>
      <c r="AW32" s="56"/>
      <c r="AX32" s="152"/>
      <c r="AY32" s="60"/>
      <c r="AZ32" s="36" t="str">
        <f t="shared" si="22"/>
        <v>0h 00m</v>
      </c>
      <c r="BA32" s="63"/>
      <c r="BB32" s="54"/>
      <c r="BC32" s="55"/>
      <c r="BD32" s="55" t="str">
        <f t="shared" ref="BD32" si="37">TEXT(BC32-BB32,"h""h ""mm""m""")</f>
        <v>0h 00m</v>
      </c>
      <c r="BE32" s="56"/>
      <c r="BF32" s="164"/>
      <c r="BG32" s="36"/>
      <c r="BH32" s="36" t="str">
        <f t="shared" si="24"/>
        <v>0h 00m</v>
      </c>
      <c r="BI32" s="56"/>
      <c r="BJ32" s="54"/>
      <c r="BK32" s="55"/>
      <c r="BL32" s="36" t="str">
        <f t="shared" si="25"/>
        <v>0h 00m</v>
      </c>
      <c r="BM32" s="56"/>
      <c r="BN32" s="54"/>
      <c r="BO32" s="55"/>
      <c r="BP32" s="36" t="str">
        <f t="shared" si="26"/>
        <v>0h 00m</v>
      </c>
      <c r="BQ32" s="56"/>
      <c r="BR32" s="54"/>
      <c r="BS32" s="55"/>
      <c r="BT32" s="36" t="str">
        <f t="shared" si="27"/>
        <v>0h 00m</v>
      </c>
      <c r="BU32" s="63"/>
      <c r="BV32" s="54"/>
      <c r="BW32" s="55"/>
      <c r="BX32" s="55" t="str">
        <f t="shared" ref="BX32" si="38">TEXT(BW32-BV32,"h""h ""mm""m""")</f>
        <v>0h 00m</v>
      </c>
      <c r="BY32" s="56"/>
      <c r="BZ32" s="164"/>
      <c r="CA32" s="36"/>
      <c r="CB32" s="36" t="str">
        <f t="shared" si="29"/>
        <v>0h 00m</v>
      </c>
      <c r="CC32" s="56"/>
      <c r="CD32" s="54"/>
      <c r="CE32" s="55"/>
      <c r="CF32" s="36" t="str">
        <f t="shared" si="9"/>
        <v>0h 00m</v>
      </c>
      <c r="CG32" s="56"/>
      <c r="CH32" s="59"/>
      <c r="CI32" s="60"/>
      <c r="CJ32" s="36" t="str">
        <f t="shared" si="30"/>
        <v>0h 00m</v>
      </c>
      <c r="CK32" s="56"/>
      <c r="CL32" s="59"/>
      <c r="CM32" s="60"/>
      <c r="CN32" s="36" t="str">
        <f t="shared" si="31"/>
        <v>0h 00m</v>
      </c>
      <c r="CO32" s="56"/>
      <c r="CP32" s="59"/>
      <c r="CQ32" s="60"/>
      <c r="CR32" s="36" t="str">
        <f t="shared" si="32"/>
        <v>0h 00m</v>
      </c>
      <c r="CS32" s="56"/>
      <c r="CT32" s="65"/>
      <c r="CU32" s="65"/>
    </row>
    <row r="33" spans="1:99" ht="15" thickBot="1" x14ac:dyDescent="0.35">
      <c r="A33" s="4"/>
      <c r="B33" s="221" t="s">
        <v>17</v>
      </c>
      <c r="C33" s="222"/>
      <c r="D33" s="44" t="str">
        <f>TEXT(SUMPRODUCT(VALUE(LEFT(D2:D29, FIND("h", D2:D29)-1)) + VALUE(MID(D2:D29, FIND("h", D2:D29)+2, FIND("m", D2:D29)-FIND("h", D2:D29)-2))/60)/24, "[h]:mm")</f>
        <v>127:31</v>
      </c>
      <c r="E33" s="49"/>
      <c r="F33" s="221" t="s">
        <v>17</v>
      </c>
      <c r="G33" s="222"/>
      <c r="H33" s="44" t="str">
        <f>TEXT(SUMPRODUCT(VALUE(LEFT(H2:H29, FIND("h", H2:H29)-1)) + VALUE(MID(H2:H29, FIND("h", H2:H29)+2, FIND("m", H2:H29)-FIND("h", H2:H29)-2))/60)/24, "[h]:mm")</f>
        <v>147:02</v>
      </c>
      <c r="I33" s="49"/>
      <c r="J33" s="221" t="s">
        <v>17</v>
      </c>
      <c r="K33" s="222"/>
      <c r="L33" s="44" t="e">
        <f t="shared" ref="L33" si="39">TEXT(SUMPRODUCT(VALUE(LEFT(L2:L29, FIND("h", L2:L29)-1)) + VALUE(MID(L2:L29, FIND("h", L2:L29)+2, FIND("m", L2:L29)-FIND("h", L2:L29)-2))/60)/24, "[h]:mm")</f>
        <v>#VALUE!</v>
      </c>
      <c r="M33" s="197"/>
      <c r="N33" s="232" t="s">
        <v>17</v>
      </c>
      <c r="O33" s="222"/>
      <c r="P33" s="44" t="str">
        <f>TEXT(SUMPRODUCT(VALUE(LEFT(P2:P29, FIND("h", P2:P29)-1)) + VALUE(MID(P2:P29, FIND("h", P2:P29)+2, FIND("m", P2:P29)-FIND("h", P2:P29)-2))/60)/24, "[h]:mm")</f>
        <v>154:42</v>
      </c>
      <c r="Q33" s="40"/>
      <c r="R33" s="219" t="s">
        <v>17</v>
      </c>
      <c r="S33" s="220"/>
      <c r="T33" s="66" t="e">
        <f>TEXT(SUMPRODUCT(VALUE(LEFT(T2:T29, FIND("h", T2:T29)-1)) + VALUE(MID(T2:T29, FIND("h", T2:T29)+2, FIND("m", T2:T29)-FIND("h", T2:T29)-2))/60)/24, "[h]:mm")</f>
        <v>#VALUE!</v>
      </c>
      <c r="U33" s="25"/>
      <c r="V33" s="219" t="s">
        <v>17</v>
      </c>
      <c r="W33" s="220"/>
      <c r="X33" s="66" t="e">
        <f t="shared" ref="X33" si="40">TEXT(SUMPRODUCT(VALUE(LEFT(X2:X29, FIND("h", X2:X29)-1)) + VALUE(MID(X2:X29, FIND("h", X2:X29)+2, FIND("m", X2:X29)-FIND("h", X2:X29)-2))/60)/24, "[h]:mm")</f>
        <v>#VALUE!</v>
      </c>
      <c r="Y33" s="160"/>
      <c r="Z33" s="221" t="s">
        <v>17</v>
      </c>
      <c r="AA33" s="222"/>
      <c r="AB33" s="66" t="str">
        <f>TEXT(SUMPRODUCT(VALUE(LEFT(AB2:AB29, FIND("h", AB2:AB29)-1)) + VALUE(MID(AB2:AB29, FIND("h", AB2:AB29)+2, FIND("m", AB2:AB29)-FIND("h", AB2:AB29)-2))/60)/24, "[h]:mm")</f>
        <v>18:30</v>
      </c>
      <c r="AC33" s="66"/>
      <c r="AD33" s="219" t="s">
        <v>17</v>
      </c>
      <c r="AE33" s="220"/>
      <c r="AF33" s="66" t="e">
        <f>TEXT(SUMPRODUCT(VALUE(LEFT(AF2:AF29, FIND("h", AF2:AF29)-1)) + VALUE(MID(AF2:AF29, FIND("h", AF2:AF29)+2, FIND("m", AF2:AF29)-FIND("h", AF2:AF29)-2))/60)/24, "[h]:mm")</f>
        <v>#VALUE!</v>
      </c>
      <c r="AG33" s="57"/>
      <c r="AH33" s="219" t="s">
        <v>17</v>
      </c>
      <c r="AI33" s="220"/>
      <c r="AJ33" s="57" t="e">
        <f>TEXT(SUMPRODUCT(VALUE(LEFT(AJ2:AJ29, FIND("h", AJ2:AJ29)-1)) + VALUE(MID(AJ2:AJ29, FIND("h", AJ2:AJ29)+2, FIND("m", AJ2:AJ29)-FIND("h", AJ2:AJ29)-2))/60)/24, "[h]:mm")</f>
        <v>#VALUE!</v>
      </c>
      <c r="AK33" s="57"/>
      <c r="AL33" s="219" t="s">
        <v>17</v>
      </c>
      <c r="AM33" s="220"/>
      <c r="AN33" s="57" t="e">
        <f>TEXT(SUMPRODUCT(VALUE(LEFT(AN2:AN29, FIND("h", AN2:AN29)-1)) + VALUE(MID(AN2:AN29, FIND("h", AN2:AN29)+2, FIND("m", AN2:AN29)-FIND("h", AN2:AN29)-2))/60)/24, "[h]:mm")</f>
        <v>#VALUE!</v>
      </c>
      <c r="AO33" s="57"/>
      <c r="AP33" s="219" t="s">
        <v>17</v>
      </c>
      <c r="AQ33" s="220"/>
      <c r="AR33" s="57" t="str">
        <f>TEXT(SUMPRODUCT(VALUE(LEFT(AR2:AR29, FIND("h", AR2:AR29)-1)) + VALUE(MID(AR2:AR29, FIND("h", AR2:AR29)+2, FIND("m", AR2:AR29)-FIND("h", AR2:AR29)-2))/60)/24, "[h]:mm")</f>
        <v>82:54</v>
      </c>
      <c r="AS33" s="57"/>
      <c r="AT33" s="221" t="s">
        <v>17</v>
      </c>
      <c r="AU33" s="222"/>
      <c r="AV33" s="66" t="e">
        <f t="shared" ref="AV33" si="41">TEXT(SUMPRODUCT(VALUE(LEFT(AV2:AV29, FIND("h", AV2:AV29)-1)) + VALUE(MID(AV2:AV29, FIND("h", AV2:AV29)+2, FIND("m", AV2:AV29)-FIND("h", AV2:AV29)-2))/60)/24, "[h]:mm")</f>
        <v>#VALUE!</v>
      </c>
      <c r="AW33" s="57"/>
      <c r="AX33" s="221" t="s">
        <v>17</v>
      </c>
      <c r="AY33" s="222"/>
      <c r="AZ33" s="57" t="e">
        <f>TEXT(SUMPRODUCT(VALUE(LEFT(AZ2:AZ29, FIND("h", AZ2:AZ29)-1)) + VALUE(MID(AZ2:AZ29, FIND("h", AZ2:AZ29)+2, FIND("m", AZ2:AZ29)-FIND("h", AZ2:AZ29)-2))/60)/24, "[h]:mm")</f>
        <v>#VALUE!</v>
      </c>
      <c r="BA33" s="57"/>
      <c r="BB33" s="221" t="s">
        <v>17</v>
      </c>
      <c r="BC33" s="222"/>
      <c r="BD33" s="66" t="e">
        <f t="shared" ref="BD33" si="42">TEXT(SUMPRODUCT(VALUE(LEFT(BD2:BD29, FIND("h", BD2:BD29)-1)) + VALUE(MID(BD2:BD29, FIND("h", BD2:BD29)+2, FIND("m", BD2:BD29)-FIND("h", BD2:BD29)-2))/60)/24, "[h]:mm")</f>
        <v>#VALUE!</v>
      </c>
      <c r="BE33" s="163"/>
      <c r="BF33" s="221" t="s">
        <v>17</v>
      </c>
      <c r="BG33" s="222"/>
      <c r="BH33" s="57" t="e">
        <f>TEXT(SUMPRODUCT(VALUE(LEFT(BH2:BH29, FIND("h", BH2:BH29)-1)) + VALUE(MID(BH2:BH29, FIND("h", BH2:BH29)+2, FIND("m", BH2:BH29)-FIND("h", BH2:BH29)-2))/60)/24, "[h]:mm")</f>
        <v>#VALUE!</v>
      </c>
      <c r="BI33" s="57"/>
      <c r="BJ33" s="219" t="s">
        <v>17</v>
      </c>
      <c r="BK33" s="220"/>
      <c r="BL33" s="57" t="e">
        <f>TEXT(SUMPRODUCT(VALUE(LEFT(BL2:BL29, FIND("h", BL2:BL29)-1)) + VALUE(MID(BL2:BL29, FIND("h", BL2:BL29)+2, FIND("m", BL2:BL29)-FIND("h", BL2:BL29)-2))/60)/24, "[h]:mm")</f>
        <v>#VALUE!</v>
      </c>
      <c r="BM33" s="57"/>
      <c r="BN33" s="219" t="s">
        <v>17</v>
      </c>
      <c r="BO33" s="220"/>
      <c r="BP33" s="57" t="e">
        <f>TEXT(SUMPRODUCT(VALUE(LEFT(BP2:BP29, FIND("h", BP2:BP29)-1)) + VALUE(MID(BP2:BP29, FIND("h", BP2:BP29)+2, FIND("m", BP2:BP29)-FIND("h", BP2:BP29)-2))/60)/24, "[h]:mm")</f>
        <v>#VALUE!</v>
      </c>
      <c r="BQ33" s="57"/>
      <c r="BR33" s="219" t="s">
        <v>17</v>
      </c>
      <c r="BS33" s="220"/>
      <c r="BT33" s="57" t="e">
        <f>TEXT(SUMPRODUCT(VALUE(LEFT(BT2:BT29, FIND("h", BT2:BT29)-1)) + VALUE(MID(BT2:BT29, FIND("h", BT2:BT29)+2, FIND("m", BT2:BT29)-FIND("h", BT2:BT29)-2))/60)/24, "[h]:mm")</f>
        <v>#VALUE!</v>
      </c>
      <c r="BU33" s="57"/>
      <c r="BV33" s="221" t="s">
        <v>17</v>
      </c>
      <c r="BW33" s="222"/>
      <c r="BX33" s="66" t="e">
        <f t="shared" ref="BX33" si="43">TEXT(SUMPRODUCT(VALUE(LEFT(BX2:BX29, FIND("h", BX2:BX29)-1)) + VALUE(MID(BX2:BX29, FIND("h", BX2:BX29)+2, FIND("m", BX2:BX29)-FIND("h", BX2:BX29)-2))/60)/24, "[h]:mm")</f>
        <v>#VALUE!</v>
      </c>
      <c r="BY33" s="163"/>
      <c r="BZ33" s="221" t="s">
        <v>17</v>
      </c>
      <c r="CA33" s="222"/>
      <c r="CB33" s="57" t="e">
        <f>TEXT(SUMPRODUCT(VALUE(LEFT(CB2:CB29, FIND("h", CB2:CB29)-1)) + VALUE(MID(CB2:CB29, FIND("h", CB2:CB29)+2, FIND("m", CB2:CB29)-FIND("h", CB2:CB29)-2))/60)/24, "[h]:mm")</f>
        <v>#VALUE!</v>
      </c>
      <c r="CC33" s="64"/>
      <c r="CD33" s="219" t="s">
        <v>17</v>
      </c>
      <c r="CE33" s="220"/>
      <c r="CF33" s="57" t="str">
        <f>TEXT(SUMPRODUCT(VALUE(LEFT(CF2:CF29, FIND("h", CF2:CF29)-1)) + VALUE(MID(CF2:CF29, FIND("h", CF2:CF29)+2, FIND("m", CF2:CF29)-FIND("h", CF2:CF29)-2))/60)/24, "[h]:mm")</f>
        <v>146:25</v>
      </c>
      <c r="CG33" s="64"/>
      <c r="CH33" s="219" t="s">
        <v>17</v>
      </c>
      <c r="CI33" s="220"/>
      <c r="CJ33" s="57" t="str">
        <f>TEXT(SUMPRODUCT(VALUE(LEFT(CJ2:CJ29, FIND("h", CJ2:CJ29)-1)) + VALUE(MID(CJ2:CJ29, FIND("h", CJ2:CJ29)+2, FIND("m", CJ2:CJ29)-FIND("h", CJ2:CJ29)-2))/60)/24, "[h]:mm")</f>
        <v>46:06</v>
      </c>
      <c r="CK33" s="57"/>
      <c r="CL33" s="219" t="s">
        <v>17</v>
      </c>
      <c r="CM33" s="220"/>
      <c r="CN33" s="57" t="str">
        <f>TEXT(SUMPRODUCT(VALUE(LEFT(CN2:CN29, FIND("h", CN2:CN29)-1)) + VALUE(MID(CN2:CN29, FIND("h", CN2:CN29)+2, FIND("m", CN2:CN29)-FIND("h", CN2:CN29)-2))/60)/24, "[h]:mm")</f>
        <v>54:31</v>
      </c>
      <c r="CO33" s="57"/>
      <c r="CP33" s="219" t="s">
        <v>17</v>
      </c>
      <c r="CQ33" s="220"/>
      <c r="CR33" s="57" t="e">
        <f>TEXT(SUMPRODUCT(VALUE(LEFT(CR2:CR29, FIND("h", CR2:CR29)-1)) + VALUE(MID(CR2:CR29, FIND("h", CR2:CR29)+2, FIND("m", CR2:CR29)-FIND("h", CR2:CR29)-2))/60)/24, "[h]:mm")</f>
        <v>#VALUE!</v>
      </c>
      <c r="CS33" s="6"/>
    </row>
    <row r="34" spans="1:99" ht="1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187"/>
      <c r="K34" s="187"/>
      <c r="L34" s="14"/>
      <c r="M34" s="14"/>
      <c r="N34" s="14"/>
      <c r="O34" s="14"/>
      <c r="X34" s="13"/>
      <c r="Y34" s="13"/>
      <c r="AD34" s="15"/>
      <c r="AE34" s="15"/>
      <c r="AF34" s="15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</row>
    <row r="35" spans="1:99" ht="15" thickBot="1" x14ac:dyDescent="0.35">
      <c r="A35" s="41" t="s">
        <v>18</v>
      </c>
      <c r="B35" s="221" t="s">
        <v>22</v>
      </c>
      <c r="C35" s="222"/>
      <c r="D35" s="14"/>
      <c r="E35" s="14"/>
      <c r="F35" s="13"/>
      <c r="G35" s="13"/>
      <c r="H35" s="14"/>
      <c r="I35" s="14"/>
      <c r="J35" s="14"/>
      <c r="K35" s="14"/>
      <c r="L35" s="14"/>
      <c r="M35" s="14"/>
      <c r="P35" s="13"/>
      <c r="Q35" s="13"/>
      <c r="T35" s="13"/>
      <c r="U35" s="13"/>
      <c r="V35" s="13"/>
      <c r="W35" s="13"/>
      <c r="X35" s="13"/>
      <c r="Y35" s="13"/>
      <c r="AV35" s="6"/>
      <c r="AW35" s="6"/>
      <c r="AX35" s="6"/>
      <c r="AY35" s="6"/>
      <c r="AZ35" s="6"/>
      <c r="CN35" s="6"/>
      <c r="CO35" s="6"/>
      <c r="CP35" s="6"/>
      <c r="CQ35" s="6"/>
      <c r="CR35" s="6"/>
      <c r="CS35" s="6"/>
      <c r="CT35" s="6"/>
      <c r="CU35" s="6"/>
    </row>
    <row r="36" spans="1:99" x14ac:dyDescent="0.3">
      <c r="A36" s="30"/>
      <c r="B36" s="225" t="s">
        <v>19</v>
      </c>
      <c r="C36" s="226"/>
      <c r="D36" s="13"/>
      <c r="E36" s="13"/>
      <c r="F36" s="13"/>
      <c r="G36" s="13"/>
      <c r="H36" s="13"/>
      <c r="I36" s="13"/>
      <c r="J36" s="13"/>
      <c r="K36" s="13"/>
      <c r="L36" s="13"/>
      <c r="M36" s="13"/>
      <c r="P36" s="13"/>
      <c r="Q36" s="13"/>
      <c r="T36" s="13"/>
      <c r="U36" s="13"/>
      <c r="V36" s="13"/>
      <c r="W36" s="13"/>
      <c r="X36" s="13"/>
      <c r="Y36" s="13"/>
      <c r="CN36" s="6"/>
      <c r="CO36" s="6"/>
      <c r="CP36" s="6"/>
      <c r="CQ36" s="6"/>
      <c r="CR36" s="6"/>
      <c r="CS36" s="6"/>
      <c r="CT36" s="6"/>
      <c r="CU36" s="6"/>
    </row>
    <row r="37" spans="1:99" x14ac:dyDescent="0.3">
      <c r="A37" s="31"/>
      <c r="B37" s="223" t="s">
        <v>20</v>
      </c>
      <c r="C37" s="224"/>
      <c r="D37" s="13"/>
      <c r="E37" s="13"/>
      <c r="F37" s="13"/>
      <c r="G37" s="13"/>
      <c r="H37" s="13"/>
      <c r="I37" s="13"/>
      <c r="J37" s="13"/>
      <c r="K37" s="13"/>
      <c r="L37" s="13"/>
      <c r="M37" s="13"/>
      <c r="P37" s="13"/>
      <c r="Q37" s="13"/>
      <c r="T37" s="13"/>
      <c r="U37" s="13"/>
      <c r="V37" s="13"/>
      <c r="W37" s="13"/>
      <c r="X37" s="13"/>
      <c r="Y37" s="13"/>
      <c r="CN37" s="6"/>
      <c r="CO37" s="6"/>
      <c r="CP37" s="6"/>
      <c r="CQ37" s="6"/>
      <c r="CR37" s="6"/>
      <c r="CS37" s="6"/>
      <c r="CT37" s="6"/>
      <c r="CU37" s="6"/>
    </row>
    <row r="38" spans="1:99" x14ac:dyDescent="0.3">
      <c r="A38" s="32"/>
      <c r="B38" s="223" t="s">
        <v>21</v>
      </c>
      <c r="C38" s="224"/>
      <c r="D38" s="13"/>
      <c r="E38" s="13"/>
      <c r="F38" s="13"/>
      <c r="G38" s="13"/>
      <c r="H38" s="13"/>
      <c r="I38" s="13"/>
      <c r="J38" s="13"/>
      <c r="K38" s="13"/>
      <c r="L38" s="13"/>
      <c r="M38" s="13"/>
      <c r="P38" s="13"/>
      <c r="Q38" s="13"/>
      <c r="T38" s="13"/>
      <c r="U38" s="13"/>
      <c r="V38" s="13"/>
      <c r="W38" s="13"/>
      <c r="X38" s="13"/>
      <c r="Y38" s="13"/>
      <c r="CN38" s="6"/>
      <c r="CO38" s="6"/>
      <c r="CP38" s="6"/>
      <c r="CQ38" s="6"/>
      <c r="CR38" s="6"/>
      <c r="CS38" s="6"/>
      <c r="CT38" s="6"/>
      <c r="CU38" s="6"/>
    </row>
    <row r="39" spans="1:99" x14ac:dyDescent="0.3">
      <c r="A39" s="33"/>
      <c r="B39" s="223" t="s">
        <v>26</v>
      </c>
      <c r="C39" s="224"/>
      <c r="D39" s="14"/>
      <c r="E39" s="14"/>
      <c r="F39" s="13"/>
      <c r="G39" s="13"/>
      <c r="H39" s="14"/>
      <c r="I39" s="14"/>
      <c r="J39" s="14"/>
      <c r="K39" s="14"/>
      <c r="L39" s="14"/>
      <c r="M39" s="14"/>
      <c r="P39" s="13"/>
      <c r="Q39" s="13"/>
      <c r="T39" s="13"/>
      <c r="U39" s="13"/>
      <c r="V39" s="13"/>
      <c r="W39" s="13"/>
      <c r="X39" s="13"/>
      <c r="Y39" s="13"/>
      <c r="CN39" s="6"/>
      <c r="CO39" s="6"/>
      <c r="CP39" s="6"/>
      <c r="CQ39" s="6"/>
      <c r="CR39" s="6"/>
      <c r="CS39" s="6"/>
      <c r="CT39" s="6"/>
      <c r="CU39" s="6"/>
    </row>
    <row r="40" spans="1:99" x14ac:dyDescent="0.3">
      <c r="A40" s="34"/>
      <c r="B40" s="223" t="s">
        <v>25</v>
      </c>
      <c r="C40" s="224"/>
      <c r="D40" s="14"/>
      <c r="E40" s="14"/>
      <c r="F40" s="13"/>
      <c r="G40" s="13"/>
      <c r="H40" s="14"/>
      <c r="I40" s="14"/>
      <c r="J40" s="14"/>
      <c r="K40" s="14"/>
      <c r="L40" s="14"/>
      <c r="M40" s="14"/>
      <c r="P40" s="13"/>
      <c r="Q40" s="13"/>
      <c r="T40" s="13"/>
      <c r="U40" s="13"/>
      <c r="V40" s="13"/>
      <c r="W40" s="13"/>
      <c r="X40" s="13"/>
      <c r="Y40" s="13"/>
      <c r="CN40" s="6"/>
      <c r="CO40" s="6"/>
      <c r="CP40" s="6"/>
      <c r="CQ40" s="6"/>
      <c r="CR40" s="6"/>
      <c r="CS40" s="6"/>
      <c r="CT40" s="6"/>
      <c r="CU40" s="6"/>
    </row>
    <row r="41" spans="1:99" x14ac:dyDescent="0.3">
      <c r="A41" s="42"/>
      <c r="B41" s="223" t="s">
        <v>27</v>
      </c>
      <c r="C41" s="224"/>
      <c r="D41" s="14"/>
      <c r="E41" s="14"/>
      <c r="F41" s="13"/>
      <c r="G41" s="13"/>
      <c r="H41" s="14"/>
      <c r="I41" s="14"/>
      <c r="J41" s="14"/>
      <c r="K41" s="14"/>
      <c r="L41" s="14"/>
      <c r="M41" s="14"/>
      <c r="P41" s="13"/>
      <c r="Q41" s="13"/>
      <c r="T41" s="13"/>
      <c r="U41" s="13"/>
      <c r="V41" s="13"/>
      <c r="W41" s="13"/>
      <c r="X41" s="13"/>
      <c r="Y41" s="13"/>
      <c r="CN41" s="6"/>
      <c r="CO41" s="6"/>
      <c r="CP41" s="6"/>
      <c r="CQ41" s="6"/>
      <c r="CR41" s="6"/>
      <c r="CS41" s="6"/>
      <c r="CT41" s="6"/>
      <c r="CU41" s="6"/>
    </row>
    <row r="42" spans="1:99" ht="15" thickBot="1" x14ac:dyDescent="0.35">
      <c r="A42" s="43"/>
      <c r="B42" s="230" t="s">
        <v>28</v>
      </c>
      <c r="C42" s="231"/>
      <c r="D42" s="14"/>
      <c r="E42" s="14"/>
      <c r="F42" s="13"/>
      <c r="G42" s="13"/>
      <c r="H42" s="14"/>
      <c r="I42" s="14"/>
      <c r="J42" s="14"/>
      <c r="K42" s="14"/>
      <c r="L42" s="14"/>
      <c r="M42" s="14"/>
      <c r="P42" s="13"/>
      <c r="Q42" s="13"/>
      <c r="T42" s="13"/>
      <c r="U42" s="13"/>
      <c r="V42" s="13"/>
      <c r="W42" s="13"/>
      <c r="X42" s="13"/>
      <c r="Y42" s="13"/>
      <c r="CN42" s="6"/>
      <c r="CO42" s="6"/>
      <c r="CP42" s="6"/>
      <c r="CQ42" s="6"/>
      <c r="CR42" s="6"/>
      <c r="CS42" s="6"/>
      <c r="CT42" s="6"/>
      <c r="CU42" s="6"/>
    </row>
    <row r="43" spans="1:99" x14ac:dyDescent="0.3">
      <c r="A43" s="4"/>
      <c r="B43" s="13"/>
      <c r="C43" s="13"/>
      <c r="D43" s="14"/>
      <c r="E43" s="14"/>
      <c r="F43" s="13"/>
      <c r="G43" s="13"/>
      <c r="H43" s="14"/>
      <c r="I43" s="14"/>
      <c r="J43" s="14"/>
      <c r="K43" s="14"/>
      <c r="L43" s="14"/>
      <c r="M43" s="14"/>
      <c r="P43" s="13"/>
      <c r="Q43" s="13"/>
      <c r="T43" s="13"/>
      <c r="U43" s="13"/>
      <c r="V43" s="13"/>
      <c r="W43" s="13"/>
      <c r="X43" s="13"/>
      <c r="Y43" s="13"/>
      <c r="CN43" s="6"/>
      <c r="CO43" s="6"/>
      <c r="CP43" s="6"/>
      <c r="CQ43" s="6"/>
      <c r="CR43" s="6"/>
      <c r="CS43" s="6"/>
      <c r="CT43" s="6"/>
      <c r="CU43" s="6"/>
    </row>
    <row r="44" spans="1:99" x14ac:dyDescent="0.3">
      <c r="A44" s="4"/>
      <c r="B44" s="13"/>
      <c r="C44" s="13"/>
      <c r="D44" s="14"/>
      <c r="E44" s="14"/>
      <c r="F44" s="13"/>
      <c r="G44" s="13"/>
      <c r="H44" s="14"/>
      <c r="I44" s="14"/>
      <c r="J44" s="14"/>
      <c r="K44" s="14"/>
      <c r="L44" s="14"/>
      <c r="M44" s="14"/>
      <c r="P44" s="13"/>
      <c r="Q44" s="13"/>
      <c r="T44" s="13"/>
      <c r="U44" s="13"/>
      <c r="V44" s="13"/>
      <c r="W44" s="13"/>
      <c r="X44" s="13"/>
      <c r="Y44" s="13"/>
      <c r="CN44" s="6"/>
      <c r="CO44" s="6"/>
      <c r="CP44" s="6"/>
      <c r="CQ44" s="6"/>
      <c r="CR44" s="6"/>
      <c r="CS44" s="6"/>
      <c r="CT44" s="6"/>
      <c r="CU44" s="6"/>
    </row>
    <row r="45" spans="1:99" x14ac:dyDescent="0.3">
      <c r="A45" s="4"/>
      <c r="B45" s="13"/>
      <c r="C45" s="13"/>
      <c r="D45" s="14"/>
      <c r="E45" s="14"/>
      <c r="F45" s="13"/>
      <c r="G45" s="13"/>
      <c r="H45" s="14"/>
      <c r="I45" s="14"/>
      <c r="J45" s="14"/>
      <c r="K45" s="14"/>
      <c r="L45" s="14"/>
      <c r="M45" s="14"/>
      <c r="P45" s="13"/>
      <c r="Q45" s="13"/>
      <c r="T45" s="13"/>
      <c r="U45" s="13"/>
      <c r="V45" s="13"/>
      <c r="W45" s="13"/>
      <c r="X45" s="13"/>
      <c r="Y45" s="13"/>
      <c r="CN45" s="6"/>
      <c r="CO45" s="6"/>
      <c r="CP45" s="6"/>
      <c r="CQ45" s="6"/>
      <c r="CR45" s="6"/>
      <c r="CS45" s="6"/>
      <c r="CT45" s="6"/>
      <c r="CU45" s="6"/>
    </row>
    <row r="46" spans="1:99" x14ac:dyDescent="0.3">
      <c r="A46" s="4"/>
      <c r="B46" s="4"/>
      <c r="C46" s="4"/>
      <c r="D46" s="4"/>
      <c r="E46" s="4"/>
      <c r="F46" s="4"/>
      <c r="G46" s="4"/>
      <c r="H46" s="4"/>
      <c r="I46" s="4"/>
      <c r="J46" s="187"/>
      <c r="K46" s="187"/>
      <c r="L46" s="4"/>
      <c r="M46" s="187"/>
    </row>
    <row r="47" spans="1:99" x14ac:dyDescent="0.3">
      <c r="A47" s="4"/>
      <c r="B47" s="4"/>
      <c r="C47" s="4"/>
      <c r="D47" s="4"/>
      <c r="E47" s="4"/>
      <c r="F47" s="4"/>
      <c r="G47" s="4"/>
      <c r="H47" s="4"/>
      <c r="I47" s="4"/>
      <c r="J47" s="187"/>
      <c r="K47" s="187"/>
      <c r="L47" s="4"/>
      <c r="M47" s="187"/>
    </row>
    <row r="48" spans="1:99" x14ac:dyDescent="0.3">
      <c r="A48" s="4"/>
      <c r="B48" s="4"/>
      <c r="C48" s="4"/>
      <c r="D48" s="4"/>
      <c r="E48" s="4"/>
      <c r="F48" s="4"/>
      <c r="G48" s="4"/>
      <c r="H48" s="4"/>
      <c r="I48" s="4"/>
      <c r="J48" s="187"/>
      <c r="K48" s="187"/>
      <c r="L48" s="4"/>
      <c r="M48" s="187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4"/>
      <c r="J49" s="187"/>
      <c r="K49" s="187"/>
      <c r="L49" s="4"/>
      <c r="M49" s="187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4"/>
      <c r="J50" s="187"/>
      <c r="K50" s="187"/>
      <c r="L50" s="4"/>
      <c r="M50" s="187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4"/>
      <c r="J51" s="187"/>
      <c r="K51" s="187"/>
      <c r="L51" s="4"/>
      <c r="M51" s="187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4"/>
      <c r="J52" s="187"/>
      <c r="K52" s="187"/>
      <c r="L52" s="4"/>
      <c r="M52" s="187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4"/>
      <c r="J53" s="187"/>
      <c r="K53" s="187"/>
      <c r="L53" s="4"/>
      <c r="M53" s="187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4"/>
      <c r="J54" s="187"/>
      <c r="K54" s="187"/>
      <c r="L54" s="4"/>
      <c r="M54" s="187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4"/>
      <c r="J55" s="187"/>
      <c r="K55" s="187"/>
      <c r="L55" s="4"/>
      <c r="M55" s="187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4"/>
      <c r="J56" s="187"/>
      <c r="K56" s="187"/>
      <c r="L56" s="4"/>
      <c r="M56" s="187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4"/>
      <c r="J57" s="187"/>
      <c r="K57" s="187"/>
      <c r="L57" s="4"/>
      <c r="M57" s="187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4"/>
      <c r="J58" s="187"/>
      <c r="K58" s="187"/>
      <c r="L58" s="4"/>
      <c r="M58" s="187"/>
    </row>
  </sheetData>
  <mergeCells count="56">
    <mergeCell ref="J1:M1"/>
    <mergeCell ref="J33:K33"/>
    <mergeCell ref="B1:E1"/>
    <mergeCell ref="F33:G33"/>
    <mergeCell ref="CD1:CG1"/>
    <mergeCell ref="CD33:CE33"/>
    <mergeCell ref="AX1:BA1"/>
    <mergeCell ref="AP1:AS1"/>
    <mergeCell ref="AL1:AO1"/>
    <mergeCell ref="AD1:AG1"/>
    <mergeCell ref="Z1:AC1"/>
    <mergeCell ref="R1:U1"/>
    <mergeCell ref="AT1:AW1"/>
    <mergeCell ref="AT33:AU33"/>
    <mergeCell ref="BV1:BY1"/>
    <mergeCell ref="BV33:BW33"/>
    <mergeCell ref="BB1:BE1"/>
    <mergeCell ref="BB33:BC33"/>
    <mergeCell ref="B42:C42"/>
    <mergeCell ref="BN1:BQ1"/>
    <mergeCell ref="BJ1:BM1"/>
    <mergeCell ref="BF1:BI1"/>
    <mergeCell ref="N1:Q1"/>
    <mergeCell ref="AL33:AM33"/>
    <mergeCell ref="N33:O33"/>
    <mergeCell ref="R33:S33"/>
    <mergeCell ref="AH1:AK1"/>
    <mergeCell ref="F1:I1"/>
    <mergeCell ref="B33:C33"/>
    <mergeCell ref="B35:C35"/>
    <mergeCell ref="Z33:AA33"/>
    <mergeCell ref="AP33:AQ33"/>
    <mergeCell ref="CP1:CS1"/>
    <mergeCell ref="CL1:CO1"/>
    <mergeCell ref="CH1:CK1"/>
    <mergeCell ref="BZ1:CC1"/>
    <mergeCell ref="BR1:BU1"/>
    <mergeCell ref="CH33:CI33"/>
    <mergeCell ref="CL33:CM33"/>
    <mergeCell ref="CP33:CQ33"/>
    <mergeCell ref="BF33:BG33"/>
    <mergeCell ref="BJ33:BK33"/>
    <mergeCell ref="BN33:BO33"/>
    <mergeCell ref="BR33:BS33"/>
    <mergeCell ref="BZ33:CA33"/>
    <mergeCell ref="B40:C40"/>
    <mergeCell ref="B41:C41"/>
    <mergeCell ref="B36:C36"/>
    <mergeCell ref="B37:C37"/>
    <mergeCell ref="B38:C38"/>
    <mergeCell ref="B39:C39"/>
    <mergeCell ref="V1:Y1"/>
    <mergeCell ref="V33:W33"/>
    <mergeCell ref="AX33:AY33"/>
    <mergeCell ref="AD33:AE33"/>
    <mergeCell ref="AH33:AI3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Storbeck</dc:creator>
  <cp:lastModifiedBy>Linda</cp:lastModifiedBy>
  <dcterms:created xsi:type="dcterms:W3CDTF">2025-11-03T05:30:46Z</dcterms:created>
  <dcterms:modified xsi:type="dcterms:W3CDTF">2026-03-23T12:00:31Z</dcterms:modified>
</cp:coreProperties>
</file>