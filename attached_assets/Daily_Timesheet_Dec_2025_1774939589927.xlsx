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EC Electronics\Desktop\Daily Timesheets\"/>
    </mc:Choice>
  </mc:AlternateContent>
  <xr:revisionPtr revIDLastSave="0" documentId="13_ncr:1_{A77BA6E9-275D-4A88-BF7B-39E1A6540F7F}" xr6:coauthVersionLast="47" xr6:coauthVersionMax="47" xr10:uidLastSave="{00000000-0000-0000-0000-000000000000}"/>
  <bookViews>
    <workbookView xWindow="-108" yWindow="-108" windowWidth="23256" windowHeight="12576" xr2:uid="{5196A857-277C-477E-B759-3AECDF38C21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H2" i="1" l="1"/>
  <c r="BH3" i="1"/>
  <c r="BH4" i="1"/>
  <c r="BH5" i="1"/>
  <c r="BH6" i="1"/>
  <c r="BH7" i="1"/>
  <c r="BH8" i="1"/>
  <c r="BH9" i="1"/>
  <c r="BH10" i="1"/>
  <c r="BH11" i="1"/>
  <c r="BH12" i="1"/>
  <c r="BH13" i="1"/>
  <c r="BH14" i="1"/>
  <c r="BH15" i="1"/>
  <c r="BH16" i="1"/>
  <c r="BH17" i="1"/>
  <c r="BH18" i="1"/>
  <c r="BH19" i="1"/>
  <c r="BH20" i="1"/>
  <c r="BH21" i="1"/>
  <c r="BH22" i="1"/>
  <c r="BH23" i="1"/>
  <c r="BH24" i="1"/>
  <c r="BH25" i="1"/>
  <c r="BH26" i="1"/>
  <c r="BH27" i="1"/>
  <c r="BH28" i="1"/>
  <c r="BH29" i="1"/>
  <c r="BH30" i="1"/>
  <c r="BH32" i="1"/>
  <c r="BH31" i="1"/>
  <c r="P24" i="1"/>
  <c r="BH33" i="1" l="1"/>
  <c r="CF19" i="1"/>
  <c r="CB14" i="1" l="1"/>
  <c r="CB15" i="1"/>
  <c r="CB16" i="1"/>
  <c r="CB17" i="1"/>
  <c r="CB18" i="1"/>
  <c r="CB19" i="1"/>
  <c r="CB20" i="1"/>
  <c r="CB21" i="1"/>
  <c r="CB22" i="1"/>
  <c r="CB23" i="1"/>
  <c r="CB24" i="1"/>
  <c r="CB25" i="1"/>
  <c r="CB26" i="1"/>
  <c r="CB27" i="1"/>
  <c r="CB28" i="1"/>
  <c r="CB29" i="1"/>
  <c r="CB30" i="1"/>
  <c r="CB31" i="1"/>
  <c r="CB32" i="1"/>
  <c r="CB2" i="1"/>
  <c r="CB3" i="1"/>
  <c r="CB4" i="1"/>
  <c r="CB5" i="1"/>
  <c r="CB6" i="1"/>
  <c r="CB7" i="1"/>
  <c r="CB8" i="1"/>
  <c r="CB9" i="1"/>
  <c r="CB10" i="1"/>
  <c r="CB11" i="1"/>
  <c r="CB12" i="1"/>
  <c r="CB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2" i="1"/>
  <c r="T3" i="1"/>
  <c r="T4" i="1"/>
  <c r="T5" i="1"/>
  <c r="T6" i="1"/>
  <c r="T7" i="1"/>
  <c r="T8" i="1"/>
  <c r="T9" i="1"/>
  <c r="T10" i="1"/>
  <c r="T11" i="1"/>
  <c r="T12" i="1"/>
  <c r="T13" i="1"/>
  <c r="CZ13" i="1"/>
  <c r="CZ14" i="1"/>
  <c r="CZ15" i="1"/>
  <c r="CZ16" i="1"/>
  <c r="CZ17" i="1"/>
  <c r="CZ18" i="1"/>
  <c r="CZ19" i="1"/>
  <c r="CZ20" i="1"/>
  <c r="CZ21" i="1"/>
  <c r="CZ22" i="1"/>
  <c r="CZ23" i="1"/>
  <c r="CZ24" i="1"/>
  <c r="CZ25" i="1"/>
  <c r="CZ26" i="1"/>
  <c r="CZ27" i="1"/>
  <c r="CZ28" i="1"/>
  <c r="CZ29" i="1"/>
  <c r="CZ30" i="1"/>
  <c r="CZ31" i="1"/>
  <c r="CZ32" i="1"/>
  <c r="CZ2" i="1"/>
  <c r="CZ3" i="1"/>
  <c r="CZ4" i="1"/>
  <c r="CZ5" i="1"/>
  <c r="CZ6" i="1"/>
  <c r="CZ7" i="1"/>
  <c r="CZ8" i="1"/>
  <c r="CZ9" i="1"/>
  <c r="CZ10" i="1"/>
  <c r="CZ11" i="1"/>
  <c r="CZ12" i="1"/>
  <c r="CB33" i="1" l="1"/>
  <c r="T33" i="1"/>
  <c r="CZ33" i="1"/>
  <c r="D7" i="1"/>
  <c r="D8" i="1"/>
  <c r="D5" i="1"/>
  <c r="D6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2" i="1"/>
  <c r="D3" i="1"/>
  <c r="D4" i="1"/>
  <c r="D33" i="1" l="1"/>
  <c r="H4" i="1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2" i="1"/>
  <c r="H3" i="1"/>
  <c r="L3" i="1" s="1"/>
  <c r="DH30" i="1"/>
  <c r="DH32" i="1"/>
  <c r="DD30" i="1"/>
  <c r="DD31" i="1"/>
  <c r="DD32" i="1"/>
  <c r="CJ30" i="1"/>
  <c r="CJ31" i="1"/>
  <c r="CJ32" i="1"/>
  <c r="BP30" i="1"/>
  <c r="BP31" i="1"/>
  <c r="BP32" i="1"/>
  <c r="BD30" i="1"/>
  <c r="BD31" i="1"/>
  <c r="BD32" i="1"/>
  <c r="AZ30" i="1"/>
  <c r="AZ31" i="1"/>
  <c r="AZ32" i="1"/>
  <c r="AN30" i="1"/>
  <c r="AN31" i="1"/>
  <c r="AN32" i="1"/>
  <c r="AJ30" i="1"/>
  <c r="AJ31" i="1"/>
  <c r="AJ32" i="1"/>
  <c r="AF30" i="1"/>
  <c r="AF31" i="1"/>
  <c r="AF32" i="1"/>
  <c r="AB30" i="1"/>
  <c r="AB31" i="1"/>
  <c r="AB32" i="1"/>
  <c r="X29" i="1"/>
  <c r="P30" i="1"/>
  <c r="P31" i="1"/>
  <c r="P32" i="1"/>
  <c r="L30" i="1"/>
  <c r="L31" i="1"/>
  <c r="L32" i="1"/>
  <c r="BP29" i="1"/>
  <c r="BP25" i="1"/>
  <c r="AB23" i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2" i="1"/>
  <c r="AN2" i="1"/>
  <c r="AB2" i="1"/>
  <c r="L2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4" i="1" s="1"/>
  <c r="L26" i="1"/>
  <c r="L27" i="1"/>
  <c r="L28" i="1"/>
  <c r="L29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5" i="1"/>
  <c r="P26" i="1"/>
  <c r="P27" i="1"/>
  <c r="P28" i="1"/>
  <c r="P29" i="1"/>
  <c r="DL7" i="1"/>
  <c r="DL8" i="1"/>
  <c r="DL9" i="1"/>
  <c r="DL10" i="1"/>
  <c r="DL11" i="1"/>
  <c r="DL12" i="1"/>
  <c r="DL13" i="1"/>
  <c r="DL14" i="1"/>
  <c r="DL15" i="1"/>
  <c r="DL16" i="1"/>
  <c r="DL17" i="1"/>
  <c r="DL18" i="1"/>
  <c r="DL21" i="1"/>
  <c r="DL22" i="1"/>
  <c r="DL26" i="1"/>
  <c r="DL27" i="1"/>
  <c r="DL28" i="1"/>
  <c r="DL29" i="1"/>
  <c r="DH7" i="1"/>
  <c r="DH8" i="1"/>
  <c r="DH9" i="1"/>
  <c r="DH10" i="1"/>
  <c r="DH11" i="1"/>
  <c r="DH12" i="1"/>
  <c r="DH13" i="1"/>
  <c r="DH14" i="1"/>
  <c r="DH15" i="1"/>
  <c r="DH16" i="1"/>
  <c r="DH17" i="1"/>
  <c r="DH18" i="1"/>
  <c r="DH19" i="1"/>
  <c r="DH20" i="1"/>
  <c r="DH21" i="1"/>
  <c r="DH22" i="1"/>
  <c r="DH23" i="1"/>
  <c r="DH25" i="1"/>
  <c r="DH26" i="1"/>
  <c r="DH27" i="1"/>
  <c r="DH28" i="1"/>
  <c r="DH29" i="1"/>
  <c r="DD7" i="1"/>
  <c r="DD8" i="1"/>
  <c r="DD9" i="1"/>
  <c r="DD10" i="1"/>
  <c r="DD11" i="1"/>
  <c r="DD12" i="1"/>
  <c r="DD13" i="1"/>
  <c r="DD14" i="1"/>
  <c r="DD15" i="1"/>
  <c r="DD16" i="1"/>
  <c r="DD17" i="1"/>
  <c r="DD18" i="1"/>
  <c r="DD19" i="1"/>
  <c r="DD20" i="1"/>
  <c r="DD21" i="1"/>
  <c r="DD22" i="1"/>
  <c r="DD23" i="1"/>
  <c r="DD24" i="1"/>
  <c r="DD25" i="1"/>
  <c r="DD26" i="1"/>
  <c r="DD27" i="1"/>
  <c r="DD28" i="1"/>
  <c r="DD29" i="1"/>
  <c r="CV7" i="1"/>
  <c r="CV8" i="1"/>
  <c r="CV9" i="1"/>
  <c r="CV10" i="1"/>
  <c r="CV11" i="1"/>
  <c r="CV12" i="1"/>
  <c r="CV13" i="1"/>
  <c r="CV14" i="1"/>
  <c r="CV15" i="1"/>
  <c r="CV16" i="1"/>
  <c r="CV17" i="1"/>
  <c r="CV18" i="1"/>
  <c r="CV19" i="1"/>
  <c r="CV20" i="1"/>
  <c r="CV21" i="1"/>
  <c r="CV22" i="1"/>
  <c r="CV23" i="1"/>
  <c r="CV24" i="1"/>
  <c r="CV25" i="1"/>
  <c r="CV26" i="1"/>
  <c r="CV27" i="1"/>
  <c r="CV28" i="1"/>
  <c r="CV29" i="1"/>
  <c r="CR7" i="1"/>
  <c r="CR8" i="1"/>
  <c r="CR9" i="1"/>
  <c r="CR10" i="1"/>
  <c r="CR11" i="1"/>
  <c r="CR12" i="1"/>
  <c r="CR13" i="1"/>
  <c r="CR14" i="1"/>
  <c r="CR15" i="1"/>
  <c r="CR16" i="1"/>
  <c r="CR17" i="1"/>
  <c r="CR18" i="1"/>
  <c r="CR19" i="1"/>
  <c r="CR20" i="1"/>
  <c r="CR21" i="1"/>
  <c r="CR22" i="1"/>
  <c r="CR23" i="1"/>
  <c r="CR24" i="1"/>
  <c r="CR25" i="1"/>
  <c r="CR26" i="1"/>
  <c r="CR27" i="1"/>
  <c r="CR28" i="1"/>
  <c r="CR29" i="1"/>
  <c r="CN29" i="1"/>
  <c r="CN7" i="1"/>
  <c r="CN8" i="1"/>
  <c r="CN9" i="1"/>
  <c r="CN10" i="1"/>
  <c r="CN11" i="1"/>
  <c r="CN12" i="1"/>
  <c r="CN13" i="1"/>
  <c r="CN14" i="1"/>
  <c r="CN15" i="1"/>
  <c r="CN16" i="1"/>
  <c r="CN17" i="1"/>
  <c r="CN21" i="1"/>
  <c r="CN22" i="1"/>
  <c r="CN26" i="1"/>
  <c r="CN27" i="1"/>
  <c r="CN28" i="1"/>
  <c r="DL2" i="1"/>
  <c r="DL3" i="1"/>
  <c r="DL4" i="1"/>
  <c r="DL5" i="1"/>
  <c r="DH2" i="1"/>
  <c r="DH3" i="1"/>
  <c r="DH4" i="1"/>
  <c r="DH5" i="1"/>
  <c r="DD2" i="1"/>
  <c r="DD3" i="1"/>
  <c r="DD4" i="1"/>
  <c r="DD5" i="1"/>
  <c r="CV2" i="1"/>
  <c r="CV3" i="1"/>
  <c r="CV4" i="1"/>
  <c r="CV5" i="1"/>
  <c r="CR2" i="1"/>
  <c r="CR3" i="1"/>
  <c r="CR4" i="1"/>
  <c r="CR5" i="1"/>
  <c r="CN2" i="1"/>
  <c r="CN3" i="1"/>
  <c r="CN4" i="1"/>
  <c r="CN5" i="1"/>
  <c r="CJ2" i="1"/>
  <c r="CJ3" i="1"/>
  <c r="CJ4" i="1"/>
  <c r="CJ5" i="1"/>
  <c r="CJ7" i="1"/>
  <c r="CJ8" i="1"/>
  <c r="CJ9" i="1"/>
  <c r="CJ10" i="1"/>
  <c r="CJ11" i="1"/>
  <c r="CJ12" i="1"/>
  <c r="CJ13" i="1"/>
  <c r="CJ14" i="1"/>
  <c r="CJ15" i="1"/>
  <c r="CJ16" i="1"/>
  <c r="CJ17" i="1"/>
  <c r="CJ18" i="1"/>
  <c r="CJ19" i="1"/>
  <c r="CJ20" i="1"/>
  <c r="CJ21" i="1"/>
  <c r="CJ22" i="1"/>
  <c r="CJ23" i="1"/>
  <c r="CJ24" i="1"/>
  <c r="CJ25" i="1"/>
  <c r="CJ26" i="1"/>
  <c r="CJ27" i="1"/>
  <c r="CJ28" i="1"/>
  <c r="CJ29" i="1"/>
  <c r="CF7" i="1"/>
  <c r="CF8" i="1"/>
  <c r="CF9" i="1"/>
  <c r="CF10" i="1"/>
  <c r="CF11" i="1"/>
  <c r="CF12" i="1"/>
  <c r="CF13" i="1"/>
  <c r="CF14" i="1"/>
  <c r="CF15" i="1"/>
  <c r="CF16" i="1"/>
  <c r="CF17" i="1"/>
  <c r="CF18" i="1"/>
  <c r="CF21" i="1"/>
  <c r="CF22" i="1"/>
  <c r="CF26" i="1"/>
  <c r="CF27" i="1"/>
  <c r="CF28" i="1"/>
  <c r="CF29" i="1"/>
  <c r="CF2" i="1"/>
  <c r="CF3" i="1"/>
  <c r="CF4" i="1"/>
  <c r="CF5" i="1"/>
  <c r="BX7" i="1"/>
  <c r="BX8" i="1"/>
  <c r="BX9" i="1"/>
  <c r="BX10" i="1"/>
  <c r="BX11" i="1"/>
  <c r="BX12" i="1"/>
  <c r="BX13" i="1"/>
  <c r="BX14" i="1"/>
  <c r="BX15" i="1"/>
  <c r="BX16" i="1"/>
  <c r="BX17" i="1"/>
  <c r="BX18" i="1"/>
  <c r="BX19" i="1"/>
  <c r="BX20" i="1"/>
  <c r="BX21" i="1"/>
  <c r="BX22" i="1"/>
  <c r="BX26" i="1"/>
  <c r="BX27" i="1"/>
  <c r="BX28" i="1"/>
  <c r="BX29" i="1"/>
  <c r="BT7" i="1"/>
  <c r="BT8" i="1"/>
  <c r="BT9" i="1"/>
  <c r="BT10" i="1"/>
  <c r="BT11" i="1"/>
  <c r="BT12" i="1"/>
  <c r="BT13" i="1"/>
  <c r="BT14" i="1"/>
  <c r="BT15" i="1"/>
  <c r="BT16" i="1"/>
  <c r="BT17" i="1"/>
  <c r="BT18" i="1"/>
  <c r="BT20" i="1"/>
  <c r="BT21" i="1"/>
  <c r="BT22" i="1"/>
  <c r="BT26" i="1"/>
  <c r="BT27" i="1"/>
  <c r="BT28" i="1"/>
  <c r="BT29" i="1"/>
  <c r="BX2" i="1"/>
  <c r="BX3" i="1"/>
  <c r="BX4" i="1"/>
  <c r="BX5" i="1"/>
  <c r="BT2" i="1"/>
  <c r="BT3" i="1"/>
  <c r="BT4" i="1"/>
  <c r="BT5" i="1"/>
  <c r="BT6" i="1"/>
  <c r="BX6" i="1" s="1"/>
  <c r="CF6" i="1" s="1"/>
  <c r="CJ6" i="1" s="1"/>
  <c r="CN6" i="1" s="1"/>
  <c r="CR6" i="1" s="1"/>
  <c r="CV6" i="1" s="1"/>
  <c r="DD6" i="1" s="1"/>
  <c r="DH6" i="1" s="1"/>
  <c r="DL6" i="1" s="1"/>
  <c r="BL7" i="1"/>
  <c r="BL8" i="1"/>
  <c r="BL9" i="1"/>
  <c r="BL10" i="1"/>
  <c r="BL11" i="1"/>
  <c r="BL12" i="1"/>
  <c r="BL13" i="1"/>
  <c r="BL14" i="1"/>
  <c r="BL15" i="1"/>
  <c r="BL16" i="1"/>
  <c r="BL17" i="1"/>
  <c r="BL18" i="1"/>
  <c r="BL19" i="1"/>
  <c r="BL20" i="1"/>
  <c r="BL21" i="1"/>
  <c r="BL22" i="1"/>
  <c r="BL26" i="1"/>
  <c r="BL27" i="1"/>
  <c r="BL28" i="1"/>
  <c r="BL29" i="1"/>
  <c r="BP6" i="1"/>
  <c r="BP7" i="1"/>
  <c r="BP8" i="1"/>
  <c r="BP9" i="1"/>
  <c r="BP10" i="1"/>
  <c r="BP11" i="1"/>
  <c r="BP12" i="1"/>
  <c r="BP13" i="1"/>
  <c r="BP14" i="1"/>
  <c r="BP15" i="1"/>
  <c r="BP16" i="1"/>
  <c r="BP17" i="1"/>
  <c r="BP18" i="1"/>
  <c r="BP20" i="1"/>
  <c r="BP21" i="1"/>
  <c r="BP22" i="1"/>
  <c r="BP23" i="1"/>
  <c r="BP24" i="1"/>
  <c r="BP26" i="1"/>
  <c r="BP27" i="1"/>
  <c r="BP28" i="1"/>
  <c r="BP2" i="1"/>
  <c r="BP3" i="1"/>
  <c r="BP4" i="1"/>
  <c r="BP5" i="1"/>
  <c r="BL3" i="1"/>
  <c r="BL4" i="1"/>
  <c r="BL5" i="1"/>
  <c r="BL6" i="1"/>
  <c r="BL2" i="1"/>
  <c r="BD3" i="1"/>
  <c r="BD4" i="1"/>
  <c r="BD5" i="1"/>
  <c r="BD6" i="1"/>
  <c r="BD7" i="1"/>
  <c r="BD8" i="1"/>
  <c r="BD9" i="1"/>
  <c r="BD10" i="1"/>
  <c r="BD11" i="1"/>
  <c r="BD12" i="1"/>
  <c r="BD13" i="1"/>
  <c r="BD14" i="1"/>
  <c r="BD15" i="1"/>
  <c r="BD17" i="1"/>
  <c r="BD18" i="1"/>
  <c r="BD19" i="1"/>
  <c r="BD20" i="1"/>
  <c r="BD21" i="1"/>
  <c r="BD22" i="1"/>
  <c r="BD23" i="1"/>
  <c r="BD24" i="1"/>
  <c r="BD25" i="1"/>
  <c r="BD26" i="1"/>
  <c r="BD27" i="1"/>
  <c r="BD28" i="1"/>
  <c r="BD29" i="1"/>
  <c r="BD2" i="1"/>
  <c r="AZ3" i="1"/>
  <c r="AZ4" i="1"/>
  <c r="AZ5" i="1"/>
  <c r="AZ6" i="1"/>
  <c r="AZ7" i="1"/>
  <c r="AZ8" i="1"/>
  <c r="AZ9" i="1"/>
  <c r="AZ10" i="1"/>
  <c r="AZ11" i="1"/>
  <c r="AZ12" i="1"/>
  <c r="AZ13" i="1"/>
  <c r="AZ14" i="1"/>
  <c r="AZ15" i="1"/>
  <c r="AZ16" i="1"/>
  <c r="AZ17" i="1"/>
  <c r="AZ18" i="1"/>
  <c r="AZ19" i="1"/>
  <c r="AZ20" i="1"/>
  <c r="AZ21" i="1"/>
  <c r="AZ22" i="1"/>
  <c r="AZ23" i="1"/>
  <c r="AZ24" i="1"/>
  <c r="AZ25" i="1"/>
  <c r="AZ26" i="1"/>
  <c r="AZ27" i="1"/>
  <c r="AZ28" i="1"/>
  <c r="AZ29" i="1"/>
  <c r="AZ2" i="1"/>
  <c r="AV3" i="1"/>
  <c r="AV4" i="1"/>
  <c r="AV5" i="1"/>
  <c r="AV6" i="1"/>
  <c r="AV7" i="1"/>
  <c r="AV8" i="1"/>
  <c r="AV9" i="1"/>
  <c r="AV10" i="1"/>
  <c r="AV11" i="1"/>
  <c r="AV12" i="1"/>
  <c r="AV13" i="1"/>
  <c r="AV14" i="1"/>
  <c r="AV15" i="1"/>
  <c r="AV16" i="1"/>
  <c r="AV17" i="1"/>
  <c r="AV18" i="1"/>
  <c r="AV19" i="1"/>
  <c r="AV20" i="1"/>
  <c r="AV21" i="1"/>
  <c r="AV22" i="1"/>
  <c r="AV26" i="1"/>
  <c r="AV27" i="1"/>
  <c r="AV28" i="1"/>
  <c r="AV29" i="1"/>
  <c r="AV2" i="1"/>
  <c r="AR3" i="1"/>
  <c r="AR4" i="1"/>
  <c r="AR5" i="1"/>
  <c r="AR6" i="1"/>
  <c r="AR7" i="1"/>
  <c r="AR8" i="1"/>
  <c r="AR11" i="1"/>
  <c r="AR12" i="1"/>
  <c r="AR13" i="1"/>
  <c r="AR14" i="1"/>
  <c r="AR15" i="1"/>
  <c r="AR17" i="1"/>
  <c r="AR21" i="1"/>
  <c r="AR22" i="1"/>
  <c r="AR26" i="1"/>
  <c r="AR27" i="1"/>
  <c r="AR28" i="1"/>
  <c r="AR29" i="1"/>
  <c r="AR2" i="1"/>
  <c r="AN3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1" i="1"/>
  <c r="AN22" i="1"/>
  <c r="AN23" i="1"/>
  <c r="AN24" i="1"/>
  <c r="AN25" i="1"/>
  <c r="AN26" i="1"/>
  <c r="AN27" i="1"/>
  <c r="AN28" i="1"/>
  <c r="AN29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2" i="1"/>
  <c r="AB3" i="1"/>
  <c r="AB4" i="1"/>
  <c r="AB5" i="1"/>
  <c r="AB7" i="1"/>
  <c r="AB19" i="1" s="1"/>
  <c r="AB8" i="1"/>
  <c r="AB14" i="1"/>
  <c r="AB15" i="1"/>
  <c r="AB16" i="1"/>
  <c r="AB17" i="1"/>
  <c r="AB18" i="1"/>
  <c r="AB20" i="1"/>
  <c r="AB21" i="1"/>
  <c r="AB22" i="1"/>
  <c r="AB24" i="1"/>
  <c r="AB25" i="1"/>
  <c r="AB26" i="1"/>
  <c r="AB28" i="1"/>
  <c r="AB29" i="1"/>
  <c r="X3" i="1"/>
  <c r="X4" i="1"/>
  <c r="X5" i="1"/>
  <c r="X6" i="1"/>
  <c r="X7" i="1"/>
  <c r="X8" i="1"/>
  <c r="X9" i="1"/>
  <c r="X10" i="1"/>
  <c r="X11" i="1"/>
  <c r="X14" i="1"/>
  <c r="X15" i="1"/>
  <c r="X17" i="1"/>
  <c r="X21" i="1"/>
  <c r="X22" i="1"/>
  <c r="X26" i="1"/>
  <c r="X27" i="1"/>
  <c r="X28" i="1"/>
  <c r="X2" i="1"/>
  <c r="P2" i="1"/>
  <c r="P3" i="1"/>
  <c r="P4" i="1"/>
  <c r="P5" i="1"/>
  <c r="P6" i="1"/>
  <c r="L4" i="1"/>
  <c r="L5" i="1"/>
  <c r="L6" i="1"/>
  <c r="AN20" i="1" l="1"/>
  <c r="AR20" i="1"/>
  <c r="BT19" i="1"/>
  <c r="BP19" i="1"/>
  <c r="BP33" i="1" s="1"/>
  <c r="AR25" i="1"/>
  <c r="AR10" i="1"/>
  <c r="BL23" i="1"/>
  <c r="BD16" i="1"/>
  <c r="BD33" i="1" s="1"/>
  <c r="AR9" i="1"/>
  <c r="AR16" i="1"/>
  <c r="AR30" i="1"/>
  <c r="AR32" i="1"/>
  <c r="AR24" i="1"/>
  <c r="AR18" i="1"/>
  <c r="AV25" i="1"/>
  <c r="AR31" i="1"/>
  <c r="AR23" i="1"/>
  <c r="AV23" i="1"/>
  <c r="AV32" i="1"/>
  <c r="AV24" i="1"/>
  <c r="AV33" i="1" s="1"/>
  <c r="AV31" i="1"/>
  <c r="AR19" i="1"/>
  <c r="AV30" i="1"/>
  <c r="CN30" i="1"/>
  <c r="CR32" i="1"/>
  <c r="CR31" i="1"/>
  <c r="CR30" i="1"/>
  <c r="DL30" i="1"/>
  <c r="DL20" i="1"/>
  <c r="CV30" i="1"/>
  <c r="DL25" i="1"/>
  <c r="DL19" i="1"/>
  <c r="DL32" i="1"/>
  <c r="DL24" i="1"/>
  <c r="DH24" i="1"/>
  <c r="DL31" i="1"/>
  <c r="DL23" i="1"/>
  <c r="DH31" i="1"/>
  <c r="AB12" i="1"/>
  <c r="AB9" i="1"/>
  <c r="AB11" i="1"/>
  <c r="AB6" i="1"/>
  <c r="AB10" i="1"/>
  <c r="AB13" i="1"/>
  <c r="BL32" i="1"/>
  <c r="BL24" i="1"/>
  <c r="BT32" i="1"/>
  <c r="BT25" i="1"/>
  <c r="BL31" i="1"/>
  <c r="BT31" i="1"/>
  <c r="BL30" i="1"/>
  <c r="BT23" i="1"/>
  <c r="BT33" i="1" s="1"/>
  <c r="BT30" i="1"/>
  <c r="BL25" i="1"/>
  <c r="BT24" i="1"/>
  <c r="CN32" i="1"/>
  <c r="CN24" i="1"/>
  <c r="CN18" i="1"/>
  <c r="CN31" i="1"/>
  <c r="CN23" i="1"/>
  <c r="CN19" i="1"/>
  <c r="CN20" i="1"/>
  <c r="CN25" i="1"/>
  <c r="CV32" i="1"/>
  <c r="CV33" i="1" s="1"/>
  <c r="CV31" i="1"/>
  <c r="X32" i="1"/>
  <c r="X24" i="1"/>
  <c r="X18" i="1"/>
  <c r="X12" i="1"/>
  <c r="X31" i="1"/>
  <c r="X23" i="1"/>
  <c r="X16" i="1"/>
  <c r="X19" i="1"/>
  <c r="X30" i="1"/>
  <c r="X20" i="1"/>
  <c r="X13" i="1"/>
  <c r="X25" i="1"/>
  <c r="CF31" i="1"/>
  <c r="CF23" i="1"/>
  <c r="BX25" i="1"/>
  <c r="CF32" i="1"/>
  <c r="BX23" i="1"/>
  <c r="CF30" i="1"/>
  <c r="CF20" i="1"/>
  <c r="BX32" i="1"/>
  <c r="BX24" i="1"/>
  <c r="CF24" i="1"/>
  <c r="BX30" i="1"/>
  <c r="CF25" i="1"/>
  <c r="BX31" i="1"/>
  <c r="AN33" i="1"/>
  <c r="CN33" i="1"/>
  <c r="CR33" i="1"/>
  <c r="CJ33" i="1"/>
  <c r="AF33" i="1"/>
  <c r="P33" i="1"/>
  <c r="H33" i="1"/>
  <c r="AJ33" i="1"/>
  <c r="AZ33" i="1"/>
  <c r="DD33" i="1"/>
  <c r="L25" i="1"/>
  <c r="AB27" i="1"/>
  <c r="L23" i="1"/>
  <c r="BX33" i="1" l="1"/>
  <c r="CF33" i="1"/>
  <c r="BL33" i="1"/>
  <c r="DL33" i="1"/>
  <c r="AR33" i="1"/>
  <c r="X33" i="1"/>
  <c r="DH33" i="1"/>
  <c r="AB33" i="1"/>
  <c r="L33" i="1"/>
</calcChain>
</file>

<file path=xl/sharedStrings.xml><?xml version="1.0" encoding="utf-8"?>
<sst xmlns="http://schemas.openxmlformats.org/spreadsheetml/2006/main" count="415" uniqueCount="126">
  <si>
    <t>Name</t>
  </si>
  <si>
    <t>Jacques</t>
  </si>
  <si>
    <t>Sifiso</t>
  </si>
  <si>
    <t>Jeanette</t>
  </si>
  <si>
    <t>Boitumelo</t>
  </si>
  <si>
    <t>Ntsane</t>
  </si>
  <si>
    <t>Mpumelelo</t>
  </si>
  <si>
    <t>Peace</t>
  </si>
  <si>
    <t>Lefa</t>
  </si>
  <si>
    <t>Newton</t>
  </si>
  <si>
    <t>James</t>
  </si>
  <si>
    <t>Nick</t>
  </si>
  <si>
    <t>Martin</t>
  </si>
  <si>
    <t>Mfundo</t>
  </si>
  <si>
    <t>Mduduzi</t>
  </si>
  <si>
    <t>Gordon</t>
  </si>
  <si>
    <t>Harold</t>
  </si>
  <si>
    <t>Sabelo</t>
  </si>
  <si>
    <t>Braiden</t>
  </si>
  <si>
    <t>Tracey H</t>
  </si>
  <si>
    <t>Charl</t>
  </si>
  <si>
    <t>Jane</t>
  </si>
  <si>
    <t>Tracy Mpala</t>
  </si>
  <si>
    <t>Donovan</t>
  </si>
  <si>
    <t>Monthly Total</t>
  </si>
  <si>
    <t>Colour</t>
  </si>
  <si>
    <t xml:space="preserve">Unpaid Leave </t>
  </si>
  <si>
    <t>Sick Leave</t>
  </si>
  <si>
    <t>Leave</t>
  </si>
  <si>
    <t>Meaning</t>
  </si>
  <si>
    <t>Gerhard</t>
  </si>
  <si>
    <t>William</t>
  </si>
  <si>
    <t>AWOL</t>
  </si>
  <si>
    <t>01.12.2025</t>
  </si>
  <si>
    <t>02.12.2025</t>
  </si>
  <si>
    <t>03.12.2025</t>
  </si>
  <si>
    <t>04.12.2025</t>
  </si>
  <si>
    <t>05.12.2025</t>
  </si>
  <si>
    <t>06.12.2025</t>
  </si>
  <si>
    <t>07.12.2025</t>
  </si>
  <si>
    <t>08.12.2025</t>
  </si>
  <si>
    <t>09.12.2025</t>
  </si>
  <si>
    <t>10.12.2025</t>
  </si>
  <si>
    <t>11.12.2025</t>
  </si>
  <si>
    <t>12.12.2025</t>
  </si>
  <si>
    <t>13.12.2025</t>
  </si>
  <si>
    <t>14.12.2025</t>
  </si>
  <si>
    <t>15.12.2025</t>
  </si>
  <si>
    <t>16.12.2025</t>
  </si>
  <si>
    <t>17.12.2025</t>
  </si>
  <si>
    <t>18.12.2025</t>
  </si>
  <si>
    <t>19.12.2025</t>
  </si>
  <si>
    <t>20.12.2025</t>
  </si>
  <si>
    <t>21.12.2025</t>
  </si>
  <si>
    <t>22.12.2025</t>
  </si>
  <si>
    <t>23.12.2025</t>
  </si>
  <si>
    <t>24.12.2025</t>
  </si>
  <si>
    <t>25.12.2025</t>
  </si>
  <si>
    <t>26.12.2025</t>
  </si>
  <si>
    <t>27.12.2025</t>
  </si>
  <si>
    <t>28.12.2025</t>
  </si>
  <si>
    <t>29.12.2025</t>
  </si>
  <si>
    <t>30.12.2025</t>
  </si>
  <si>
    <t>31.12.2025</t>
  </si>
  <si>
    <t>Public Holiday</t>
  </si>
  <si>
    <t>Angelique</t>
  </si>
  <si>
    <t>Half Day Leave</t>
  </si>
  <si>
    <t>AEC0080</t>
  </si>
  <si>
    <t>UNPAID</t>
  </si>
  <si>
    <t>LEAVE</t>
  </si>
  <si>
    <t>AEC0088</t>
  </si>
  <si>
    <t>ANNUAL</t>
  </si>
  <si>
    <t>AEC0062</t>
  </si>
  <si>
    <t>AEC0059</t>
  </si>
  <si>
    <t>AEC0070</t>
  </si>
  <si>
    <t>AEC0085</t>
  </si>
  <si>
    <t>AEC0061</t>
  </si>
  <si>
    <t>AEC0056</t>
  </si>
  <si>
    <t>AEC0058</t>
  </si>
  <si>
    <t>AEC0065</t>
  </si>
  <si>
    <t>AEC0068</t>
  </si>
  <si>
    <t>AEC0064</t>
  </si>
  <si>
    <t>AEC086</t>
  </si>
  <si>
    <t>AEC0063</t>
  </si>
  <si>
    <t>Arib</t>
  </si>
  <si>
    <t>7:15</t>
  </si>
  <si>
    <t>16:30</t>
  </si>
  <si>
    <t>AEC0091</t>
  </si>
  <si>
    <t>AEC0092</t>
  </si>
  <si>
    <t>SICK</t>
  </si>
  <si>
    <t>16:19</t>
  </si>
  <si>
    <t>7:26</t>
  </si>
  <si>
    <t>Stef V.D Westhuizen</t>
  </si>
  <si>
    <t>16:17</t>
  </si>
  <si>
    <t>7:11</t>
  </si>
  <si>
    <t xml:space="preserve">Bronwyn </t>
  </si>
  <si>
    <t>7:05</t>
  </si>
  <si>
    <t>16:18</t>
  </si>
  <si>
    <t>7:03</t>
  </si>
  <si>
    <t>Nbovo Vukeya</t>
  </si>
  <si>
    <t>16:31</t>
  </si>
  <si>
    <t>6:50</t>
  </si>
  <si>
    <t>16:25</t>
  </si>
  <si>
    <t>7:04</t>
  </si>
  <si>
    <t>AEC0079</t>
  </si>
  <si>
    <t>AEC0094</t>
  </si>
  <si>
    <t>16:15</t>
  </si>
  <si>
    <t>7:06</t>
  </si>
  <si>
    <t>16:23</t>
  </si>
  <si>
    <t>16:20</t>
  </si>
  <si>
    <t>6:55</t>
  </si>
  <si>
    <t>7:10</t>
  </si>
  <si>
    <t>14:45</t>
  </si>
  <si>
    <t>7:07</t>
  </si>
  <si>
    <t>7:20</t>
  </si>
  <si>
    <t>Khathutshelo</t>
  </si>
  <si>
    <t>6:10</t>
  </si>
  <si>
    <t>16:16</t>
  </si>
  <si>
    <t>7:02</t>
  </si>
  <si>
    <t>16:29</t>
  </si>
  <si>
    <t>16:28</t>
  </si>
  <si>
    <t>16:35</t>
  </si>
  <si>
    <t>16:05</t>
  </si>
  <si>
    <t>15:51</t>
  </si>
  <si>
    <t>15:55</t>
  </si>
  <si>
    <t>16:04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</si>
</sst>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002060"/>
      <name val="Aptos Narrow"/>
      <family val="2"/>
    </font>
    <font>
      <sz val="11"/>
      <color rgb="FFFF0000"/>
      <name val="Aptos Narrow"/>
      <family val="2"/>
    </font>
    <font>
      <sz val="10"/>
      <color rgb="FF000000"/>
      <name val="Aptos Narrow"/>
      <family val="2"/>
    </font>
    <font>
      <sz val="8"/>
      <name val="Aptos Narrow"/>
      <family val="2"/>
      <scheme val="minor"/>
    </font>
    <font>
      <sz val="11"/>
      <color theme="1"/>
      <name val="Aptos Narrow"/>
      <family val="2"/>
    </font>
    <font>
      <sz val="10"/>
      <color theme="1"/>
      <name val="Arial Unicode MS"/>
    </font>
    <font>
      <sz val="11"/>
      <name val="Aptos Narrow"/>
      <family val="2"/>
    </font>
    <font>
      <b/>
      <sz val="11"/>
      <color rgb="FFFF0000"/>
      <name val="Aptos Narrow"/>
      <family val="2"/>
    </font>
    <font>
      <sz val="11"/>
      <color theme="0"/>
      <name val="Aptos Narrow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238">
    <xf numFmtId="0" fontId="0" fillId="0" borderId="0" xfId="0"/>
    <xf numFmtId="0" fontId="1" fillId="0" borderId="1" xfId="0" applyFont="1" applyBorder="1" applyAlignment="1">
      <alignment vertical="center"/>
    </xf>
    <xf numFmtId="15" fontId="0" fillId="0" borderId="0" xfId="0" applyNumberFormat="1"/>
    <xf numFmtId="0" fontId="0" fillId="0" borderId="8" xfId="0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20" fontId="1" fillId="2" borderId="4" xfId="0" applyNumberFormat="1" applyFont="1" applyFill="1" applyBorder="1" applyAlignment="1" applyProtection="1">
      <alignment horizontal="center" vertical="center"/>
      <protection locked="0"/>
    </xf>
    <xf numFmtId="2" fontId="1" fillId="2" borderId="4" xfId="0" applyNumberFormat="1" applyFont="1" applyFill="1" applyBorder="1" applyAlignment="1" applyProtection="1">
      <alignment horizontal="center" vertical="center"/>
      <protection locked="0"/>
    </xf>
    <xf numFmtId="0" fontId="1" fillId="2" borderId="4" xfId="0" applyFont="1" applyFill="1" applyBorder="1" applyAlignment="1" applyProtection="1">
      <alignment horizontal="center" vertical="center"/>
      <protection locked="0"/>
    </xf>
    <xf numFmtId="20" fontId="1" fillId="2" borderId="3" xfId="0" applyNumberFormat="1" applyFont="1" applyFill="1" applyBorder="1" applyAlignment="1" applyProtection="1">
      <alignment horizontal="center" vertical="center"/>
      <protection locked="0"/>
    </xf>
    <xf numFmtId="20" fontId="4" fillId="2" borderId="3" xfId="0" applyNumberFormat="1" applyFont="1" applyFill="1" applyBorder="1" applyAlignment="1" applyProtection="1">
      <alignment horizontal="center" vertical="center"/>
      <protection locked="0"/>
    </xf>
    <xf numFmtId="0" fontId="1" fillId="2" borderId="3" xfId="0" applyFont="1" applyFill="1" applyBorder="1" applyAlignment="1" applyProtection="1">
      <alignment horizontal="center" vertical="center"/>
      <protection locked="0"/>
    </xf>
    <xf numFmtId="20" fontId="0" fillId="0" borderId="3" xfId="0" applyNumberFormat="1" applyBorder="1" applyAlignment="1" applyProtection="1">
      <alignment horizontal="center"/>
      <protection locked="0"/>
    </xf>
    <xf numFmtId="20" fontId="6" fillId="2" borderId="3" xfId="0" applyNumberFormat="1" applyFont="1" applyFill="1" applyBorder="1" applyAlignment="1" applyProtection="1">
      <alignment horizontal="center" vertical="center"/>
      <protection locked="0"/>
    </xf>
    <xf numFmtId="20" fontId="8" fillId="2" borderId="3" xfId="0" applyNumberFormat="1" applyFont="1" applyFill="1" applyBorder="1" applyAlignment="1" applyProtection="1">
      <alignment horizontal="center" vertical="center"/>
      <protection locked="0"/>
    </xf>
    <xf numFmtId="0" fontId="0" fillId="0" borderId="7" xfId="0" applyBorder="1" applyProtection="1">
      <protection locked="0"/>
    </xf>
    <xf numFmtId="0" fontId="0" fillId="0" borderId="0" xfId="0" applyAlignment="1" applyProtection="1">
      <alignment horizontal="center"/>
      <protection locked="0"/>
    </xf>
    <xf numFmtId="2" fontId="0" fillId="0" borderId="0" xfId="0" applyNumberFormat="1" applyAlignment="1" applyProtection="1">
      <alignment horizontal="center"/>
      <protection locked="0"/>
    </xf>
    <xf numFmtId="0" fontId="0" fillId="0" borderId="7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2" fontId="7" fillId="0" borderId="5" xfId="0" applyNumberFormat="1" applyFont="1" applyBorder="1" applyAlignment="1" applyProtection="1">
      <alignment horizontal="center"/>
      <protection locked="0"/>
    </xf>
    <xf numFmtId="2" fontId="0" fillId="0" borderId="5" xfId="0" applyNumberFormat="1" applyBorder="1" applyAlignment="1" applyProtection="1">
      <alignment horizontal="center"/>
      <protection locked="0"/>
    </xf>
    <xf numFmtId="15" fontId="0" fillId="6" borderId="3" xfId="0" applyNumberFormat="1" applyFill="1" applyBorder="1"/>
    <xf numFmtId="20" fontId="1" fillId="2" borderId="11" xfId="0" applyNumberFormat="1" applyFont="1" applyFill="1" applyBorder="1" applyAlignment="1" applyProtection="1">
      <alignment horizontal="center" vertical="center"/>
      <protection locked="0"/>
    </xf>
    <xf numFmtId="20" fontId="1" fillId="2" borderId="12" xfId="0" applyNumberFormat="1" applyFont="1" applyFill="1" applyBorder="1" applyAlignment="1" applyProtection="1">
      <alignment horizontal="center" vertical="center"/>
      <protection locked="0"/>
    </xf>
    <xf numFmtId="2" fontId="1" fillId="2" borderId="12" xfId="0" applyNumberFormat="1" applyFont="1" applyFill="1" applyBorder="1" applyAlignment="1" applyProtection="1">
      <alignment horizontal="center" vertical="center"/>
      <protection locked="0"/>
    </xf>
    <xf numFmtId="2" fontId="1" fillId="2" borderId="13" xfId="0" applyNumberFormat="1" applyFont="1" applyFill="1" applyBorder="1" applyAlignment="1" applyProtection="1">
      <alignment horizontal="center" vertical="center"/>
      <protection locked="0"/>
    </xf>
    <xf numFmtId="20" fontId="1" fillId="2" borderId="14" xfId="0" applyNumberFormat="1" applyFont="1" applyFill="1" applyBorder="1" applyAlignment="1" applyProtection="1">
      <alignment horizontal="center" vertical="center"/>
      <protection locked="0"/>
    </xf>
    <xf numFmtId="2" fontId="1" fillId="2" borderId="15" xfId="0" applyNumberFormat="1" applyFont="1" applyFill="1" applyBorder="1" applyAlignment="1" applyProtection="1">
      <alignment horizontal="center" vertical="center"/>
      <protection locked="0"/>
    </xf>
    <xf numFmtId="0" fontId="1" fillId="2" borderId="15" xfId="0" applyFont="1" applyFill="1" applyBorder="1" applyAlignment="1" applyProtection="1">
      <alignment horizontal="center" vertical="center"/>
      <protection locked="0"/>
    </xf>
    <xf numFmtId="0" fontId="1" fillId="2" borderId="11" xfId="0" applyFont="1" applyFill="1" applyBorder="1" applyAlignment="1" applyProtection="1">
      <alignment horizontal="center" vertical="center"/>
      <protection locked="0"/>
    </xf>
    <xf numFmtId="0" fontId="1" fillId="2" borderId="12" xfId="0" applyFont="1" applyFill="1" applyBorder="1" applyAlignment="1" applyProtection="1">
      <alignment horizontal="center" vertical="center"/>
      <protection locked="0"/>
    </xf>
    <xf numFmtId="0" fontId="1" fillId="2" borderId="19" xfId="0" applyFont="1" applyFill="1" applyBorder="1" applyAlignment="1" applyProtection="1">
      <alignment horizontal="center" vertical="center"/>
      <protection locked="0"/>
    </xf>
    <xf numFmtId="20" fontId="1" fillId="2" borderId="19" xfId="0" applyNumberFormat="1" applyFont="1" applyFill="1" applyBorder="1" applyAlignment="1" applyProtection="1">
      <alignment horizontal="center" vertical="center"/>
      <protection locked="0"/>
    </xf>
    <xf numFmtId="0" fontId="1" fillId="2" borderId="13" xfId="0" applyFont="1" applyFill="1" applyBorder="1" applyAlignment="1" applyProtection="1">
      <alignment horizontal="center" vertical="center"/>
      <protection locked="0"/>
    </xf>
    <xf numFmtId="0" fontId="1" fillId="2" borderId="14" xfId="0" applyFont="1" applyFill="1" applyBorder="1" applyAlignment="1" applyProtection="1">
      <alignment horizontal="center" vertical="center"/>
      <protection locked="0"/>
    </xf>
    <xf numFmtId="20" fontId="0" fillId="0" borderId="11" xfId="0" applyNumberFormat="1" applyBorder="1" applyAlignment="1" applyProtection="1">
      <alignment horizontal="center"/>
      <protection locked="0"/>
    </xf>
    <xf numFmtId="20" fontId="0" fillId="0" borderId="19" xfId="0" applyNumberFormat="1" applyBorder="1" applyAlignment="1" applyProtection="1">
      <alignment horizontal="center"/>
      <protection locked="0"/>
    </xf>
    <xf numFmtId="20" fontId="6" fillId="2" borderId="14" xfId="0" applyNumberFormat="1" applyFont="1" applyFill="1" applyBorder="1" applyAlignment="1" applyProtection="1">
      <alignment horizontal="center" vertical="center"/>
      <protection locked="0"/>
    </xf>
    <xf numFmtId="20" fontId="4" fillId="2" borderId="14" xfId="0" applyNumberFormat="1" applyFont="1" applyFill="1" applyBorder="1" applyAlignment="1" applyProtection="1">
      <alignment horizontal="center" vertical="center"/>
      <protection locked="0"/>
    </xf>
    <xf numFmtId="0" fontId="1" fillId="2" borderId="21" xfId="0" applyFont="1" applyFill="1" applyBorder="1" applyAlignment="1" applyProtection="1">
      <alignment horizontal="center" vertical="center"/>
      <protection locked="0"/>
    </xf>
    <xf numFmtId="0" fontId="1" fillId="2" borderId="22" xfId="0" applyFont="1" applyFill="1" applyBorder="1" applyAlignment="1" applyProtection="1">
      <alignment horizontal="center" vertical="center"/>
      <protection locked="0"/>
    </xf>
    <xf numFmtId="19" fontId="1" fillId="2" borderId="22" xfId="0" applyNumberFormat="1" applyFont="1" applyFill="1" applyBorder="1" applyAlignment="1" applyProtection="1">
      <alignment horizontal="center" vertical="center"/>
      <protection locked="0"/>
    </xf>
    <xf numFmtId="0" fontId="3" fillId="2" borderId="22" xfId="0" applyFont="1" applyFill="1" applyBorder="1" applyAlignment="1" applyProtection="1">
      <alignment horizontal="center" vertical="center"/>
      <protection locked="0"/>
    </xf>
    <xf numFmtId="0" fontId="9" fillId="2" borderId="3" xfId="0" applyFont="1" applyFill="1" applyBorder="1" applyAlignment="1" applyProtection="1">
      <alignment horizontal="center" vertical="center"/>
      <protection locked="0"/>
    </xf>
    <xf numFmtId="0" fontId="0" fillId="2" borderId="0" xfId="0" applyFill="1" applyProtection="1">
      <protection locked="0"/>
    </xf>
    <xf numFmtId="19" fontId="1" fillId="2" borderId="14" xfId="0" applyNumberFormat="1" applyFont="1" applyFill="1" applyBorder="1" applyAlignment="1" applyProtection="1">
      <alignment horizontal="center" vertical="center"/>
      <protection locked="0"/>
    </xf>
    <xf numFmtId="19" fontId="1" fillId="2" borderId="3" xfId="0" applyNumberFormat="1" applyFont="1" applyFill="1" applyBorder="1" applyAlignment="1" applyProtection="1">
      <alignment horizontal="center" vertical="center"/>
      <protection locked="0"/>
    </xf>
    <xf numFmtId="2" fontId="1" fillId="2" borderId="18" xfId="0" applyNumberFormat="1" applyFont="1" applyFill="1" applyBorder="1" applyAlignment="1" applyProtection="1">
      <alignment horizontal="center" vertical="center"/>
      <protection locked="0"/>
    </xf>
    <xf numFmtId="0" fontId="1" fillId="2" borderId="17" xfId="0" applyFont="1" applyFill="1" applyBorder="1" applyAlignment="1" applyProtection="1">
      <alignment horizontal="center" vertical="center"/>
      <protection locked="0"/>
    </xf>
    <xf numFmtId="164" fontId="1" fillId="2" borderId="2" xfId="0" applyNumberFormat="1" applyFont="1" applyFill="1" applyBorder="1" applyAlignment="1">
      <alignment vertical="center"/>
    </xf>
    <xf numFmtId="2" fontId="1" fillId="2" borderId="3" xfId="0" applyNumberFormat="1" applyFont="1" applyFill="1" applyBorder="1" applyAlignment="1" applyProtection="1">
      <alignment horizontal="center" vertic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1" fillId="2" borderId="31" xfId="0" applyFont="1" applyFill="1" applyBorder="1" applyAlignment="1" applyProtection="1">
      <alignment horizontal="center" vertical="center"/>
      <protection locked="0"/>
    </xf>
    <xf numFmtId="0" fontId="0" fillId="0" borderId="16" xfId="0" applyBorder="1" applyAlignment="1" applyProtection="1">
      <alignment horizontal="center"/>
      <protection locked="0"/>
    </xf>
    <xf numFmtId="0" fontId="0" fillId="0" borderId="17" xfId="0" applyBorder="1" applyAlignment="1" applyProtection="1">
      <alignment horizontal="center"/>
      <protection locked="0"/>
    </xf>
    <xf numFmtId="0" fontId="0" fillId="0" borderId="20" xfId="0" applyBorder="1" applyAlignment="1" applyProtection="1">
      <alignment horizontal="center"/>
      <protection locked="0"/>
    </xf>
    <xf numFmtId="19" fontId="1" fillId="2" borderId="31" xfId="0" applyNumberFormat="1" applyFont="1" applyFill="1" applyBorder="1" applyAlignment="1" applyProtection="1">
      <alignment horizontal="center" vertical="center"/>
      <protection locked="0"/>
    </xf>
    <xf numFmtId="2" fontId="0" fillId="0" borderId="20" xfId="0" applyNumberFormat="1" applyBorder="1" applyAlignment="1" applyProtection="1">
      <alignment horizontal="center"/>
      <protection locked="0"/>
    </xf>
    <xf numFmtId="2" fontId="1" fillId="2" borderId="31" xfId="0" applyNumberFormat="1" applyFont="1" applyFill="1" applyBorder="1" applyAlignment="1" applyProtection="1">
      <alignment horizontal="center" vertical="center"/>
      <protection locked="0"/>
    </xf>
    <xf numFmtId="2" fontId="1" fillId="2" borderId="17" xfId="0" applyNumberFormat="1" applyFont="1" applyFill="1" applyBorder="1" applyAlignment="1" applyProtection="1">
      <alignment horizontal="center" vertical="center"/>
      <protection locked="0"/>
    </xf>
    <xf numFmtId="0" fontId="0" fillId="0" borderId="1" xfId="0" applyBorder="1" applyProtection="1">
      <protection locked="0"/>
    </xf>
    <xf numFmtId="0" fontId="0" fillId="0" borderId="6" xfId="0" applyBorder="1" applyProtection="1">
      <protection locked="0"/>
    </xf>
    <xf numFmtId="2" fontId="1" fillId="7" borderId="4" xfId="0" applyNumberFormat="1" applyFont="1" applyFill="1" applyBorder="1" applyAlignment="1" applyProtection="1">
      <alignment horizontal="center" vertical="center"/>
      <protection locked="0"/>
    </xf>
    <xf numFmtId="2" fontId="1" fillId="7" borderId="15" xfId="0" applyNumberFormat="1" applyFont="1" applyFill="1" applyBorder="1" applyAlignment="1" applyProtection="1">
      <alignment horizontal="center" vertical="center"/>
      <protection locked="0"/>
    </xf>
    <xf numFmtId="0" fontId="1" fillId="7" borderId="4" xfId="0" applyFont="1" applyFill="1" applyBorder="1" applyAlignment="1" applyProtection="1">
      <alignment horizontal="center" vertical="center"/>
      <protection locked="0"/>
    </xf>
    <xf numFmtId="0" fontId="1" fillId="7" borderId="15" xfId="0" applyFont="1" applyFill="1" applyBorder="1" applyAlignment="1" applyProtection="1">
      <alignment horizontal="center" vertical="center"/>
      <protection locked="0"/>
    </xf>
    <xf numFmtId="0" fontId="1" fillId="7" borderId="19" xfId="0" applyFont="1" applyFill="1" applyBorder="1" applyAlignment="1" applyProtection="1">
      <alignment horizontal="center" vertical="center"/>
      <protection locked="0"/>
    </xf>
    <xf numFmtId="0" fontId="1" fillId="7" borderId="14" xfId="0" applyFont="1" applyFill="1" applyBorder="1" applyAlignment="1" applyProtection="1">
      <alignment horizontal="center" vertical="center"/>
      <protection locked="0"/>
    </xf>
    <xf numFmtId="0" fontId="1" fillId="7" borderId="3" xfId="0" applyFont="1" applyFill="1" applyBorder="1" applyAlignment="1" applyProtection="1">
      <alignment horizontal="center" vertical="center"/>
      <protection locked="0"/>
    </xf>
    <xf numFmtId="0" fontId="1" fillId="7" borderId="22" xfId="0" applyFont="1" applyFill="1" applyBorder="1" applyAlignment="1" applyProtection="1">
      <alignment horizontal="center" vertical="center"/>
      <protection locked="0"/>
    </xf>
    <xf numFmtId="0" fontId="0" fillId="7" borderId="0" xfId="0" applyFill="1" applyProtection="1">
      <protection locked="0"/>
    </xf>
    <xf numFmtId="0" fontId="6" fillId="7" borderId="14" xfId="0" applyFont="1" applyFill="1" applyBorder="1" applyAlignment="1" applyProtection="1">
      <alignment horizontal="center" vertical="center"/>
      <protection locked="0"/>
    </xf>
    <xf numFmtId="0" fontId="6" fillId="7" borderId="3" xfId="0" applyFont="1" applyFill="1" applyBorder="1" applyAlignment="1" applyProtection="1">
      <alignment horizontal="center" vertical="center"/>
      <protection locked="0"/>
    </xf>
    <xf numFmtId="0" fontId="6" fillId="7" borderId="22" xfId="0" applyFont="1" applyFill="1" applyBorder="1" applyAlignment="1" applyProtection="1">
      <alignment horizontal="center" vertical="center"/>
      <protection locked="0"/>
    </xf>
    <xf numFmtId="0" fontId="2" fillId="7" borderId="14" xfId="0" applyFont="1" applyFill="1" applyBorder="1" applyAlignment="1" applyProtection="1">
      <alignment horizontal="center" vertical="center"/>
      <protection locked="0"/>
    </xf>
    <xf numFmtId="0" fontId="2" fillId="7" borderId="3" xfId="0" applyFont="1" applyFill="1" applyBorder="1" applyAlignment="1" applyProtection="1">
      <alignment horizontal="center" vertical="center"/>
      <protection locked="0"/>
    </xf>
    <xf numFmtId="19" fontId="1" fillId="7" borderId="14" xfId="0" applyNumberFormat="1" applyFont="1" applyFill="1" applyBorder="1" applyAlignment="1" applyProtection="1">
      <alignment horizontal="center" vertical="center"/>
      <protection locked="0"/>
    </xf>
    <xf numFmtId="19" fontId="1" fillId="7" borderId="3" xfId="0" applyNumberFormat="1" applyFont="1" applyFill="1" applyBorder="1" applyAlignment="1" applyProtection="1">
      <alignment horizontal="center" vertical="center"/>
      <protection locked="0"/>
    </xf>
    <xf numFmtId="19" fontId="1" fillId="7" borderId="22" xfId="0" applyNumberFormat="1" applyFont="1" applyFill="1" applyBorder="1" applyAlignment="1" applyProtection="1">
      <alignment horizontal="center" vertical="center"/>
      <protection locked="0"/>
    </xf>
    <xf numFmtId="0" fontId="3" fillId="7" borderId="14" xfId="0" applyFont="1" applyFill="1" applyBorder="1" applyAlignment="1" applyProtection="1">
      <alignment horizontal="center" vertical="center"/>
      <protection locked="0"/>
    </xf>
    <xf numFmtId="0" fontId="3" fillId="7" borderId="3" xfId="0" applyFont="1" applyFill="1" applyBorder="1" applyAlignment="1" applyProtection="1">
      <alignment horizontal="center" vertical="center"/>
      <protection locked="0"/>
    </xf>
    <xf numFmtId="19" fontId="1" fillId="7" borderId="24" xfId="0" applyNumberFormat="1" applyFont="1" applyFill="1" applyBorder="1" applyAlignment="1" applyProtection="1">
      <alignment horizontal="center" vertical="center"/>
      <protection locked="0"/>
    </xf>
    <xf numFmtId="19" fontId="1" fillId="7" borderId="25" xfId="0" applyNumberFormat="1" applyFont="1" applyFill="1" applyBorder="1" applyAlignment="1" applyProtection="1">
      <alignment horizontal="center" vertical="center"/>
      <protection locked="0"/>
    </xf>
    <xf numFmtId="2" fontId="1" fillId="7" borderId="3" xfId="0" applyNumberFormat="1" applyFont="1" applyFill="1" applyBorder="1" applyAlignment="1" applyProtection="1">
      <alignment horizontal="center" vertical="center"/>
      <protection locked="0"/>
    </xf>
    <xf numFmtId="2" fontId="1" fillId="7" borderId="27" xfId="0" applyNumberFormat="1" applyFont="1" applyFill="1" applyBorder="1" applyAlignment="1" applyProtection="1">
      <alignment horizontal="center" vertical="center"/>
      <protection locked="0"/>
    </xf>
    <xf numFmtId="0" fontId="1" fillId="7" borderId="24" xfId="0" applyFont="1" applyFill="1" applyBorder="1" applyAlignment="1" applyProtection="1">
      <alignment horizontal="center" vertical="center"/>
      <protection locked="0"/>
    </xf>
    <xf numFmtId="0" fontId="1" fillId="7" borderId="25" xfId="0" applyFont="1" applyFill="1" applyBorder="1" applyAlignment="1" applyProtection="1">
      <alignment horizontal="center" vertical="center"/>
      <protection locked="0"/>
    </xf>
    <xf numFmtId="0" fontId="1" fillId="7" borderId="27" xfId="0" applyFont="1" applyFill="1" applyBorder="1" applyAlignment="1" applyProtection="1">
      <alignment horizontal="center" vertical="center"/>
      <protection locked="0"/>
    </xf>
    <xf numFmtId="0" fontId="1" fillId="7" borderId="28" xfId="0" applyFont="1" applyFill="1" applyBorder="1" applyAlignment="1" applyProtection="1">
      <alignment horizontal="center" vertical="center"/>
      <protection locked="0"/>
    </xf>
    <xf numFmtId="0" fontId="1" fillId="7" borderId="26" xfId="0" applyFont="1" applyFill="1" applyBorder="1" applyAlignment="1" applyProtection="1">
      <alignment horizontal="center" vertical="center"/>
      <protection locked="0"/>
    </xf>
    <xf numFmtId="19" fontId="1" fillId="7" borderId="30" xfId="0" applyNumberFormat="1" applyFont="1" applyFill="1" applyBorder="1" applyAlignment="1" applyProtection="1">
      <alignment horizontal="center" vertical="center"/>
      <protection locked="0"/>
    </xf>
    <xf numFmtId="19" fontId="1" fillId="7" borderId="29" xfId="0" applyNumberFormat="1" applyFont="1" applyFill="1" applyBorder="1" applyAlignment="1" applyProtection="1">
      <alignment horizontal="center" vertical="center"/>
      <protection locked="0"/>
    </xf>
    <xf numFmtId="15" fontId="0" fillId="8" borderId="3" xfId="0" applyNumberFormat="1" applyFill="1" applyBorder="1"/>
    <xf numFmtId="20" fontId="1" fillId="8" borderId="14" xfId="0" applyNumberFormat="1" applyFont="1" applyFill="1" applyBorder="1" applyAlignment="1" applyProtection="1">
      <alignment horizontal="center" vertical="center"/>
      <protection locked="0"/>
    </xf>
    <xf numFmtId="20" fontId="1" fillId="8" borderId="3" xfId="0" applyNumberFormat="1" applyFont="1" applyFill="1" applyBorder="1" applyAlignment="1" applyProtection="1">
      <alignment horizontal="center" vertical="center"/>
      <protection locked="0"/>
    </xf>
    <xf numFmtId="0" fontId="1" fillId="8" borderId="4" xfId="0" applyFont="1" applyFill="1" applyBorder="1" applyAlignment="1" applyProtection="1">
      <alignment horizontal="center" vertical="center"/>
      <protection locked="0"/>
    </xf>
    <xf numFmtId="0" fontId="1" fillId="8" borderId="15" xfId="0" applyFont="1" applyFill="1" applyBorder="1" applyAlignment="1" applyProtection="1">
      <alignment horizontal="center" vertical="center"/>
      <protection locked="0"/>
    </xf>
    <xf numFmtId="20" fontId="1" fillId="8" borderId="19" xfId="0" applyNumberFormat="1" applyFont="1" applyFill="1" applyBorder="1" applyAlignment="1" applyProtection="1">
      <alignment horizontal="center" vertical="center"/>
      <protection locked="0"/>
    </xf>
    <xf numFmtId="20" fontId="1" fillId="8" borderId="4" xfId="0" applyNumberFormat="1" applyFont="1" applyFill="1" applyBorder="1" applyAlignment="1" applyProtection="1">
      <alignment horizontal="center" vertical="center"/>
      <protection locked="0"/>
    </xf>
    <xf numFmtId="0" fontId="1" fillId="8" borderId="22" xfId="0" applyFont="1" applyFill="1" applyBorder="1" applyAlignment="1" applyProtection="1">
      <alignment horizontal="center" vertical="center"/>
      <protection locked="0"/>
    </xf>
    <xf numFmtId="0" fontId="0" fillId="8" borderId="0" xfId="0" applyFill="1" applyProtection="1">
      <protection locked="0"/>
    </xf>
    <xf numFmtId="2" fontId="1" fillId="8" borderId="4" xfId="0" applyNumberFormat="1" applyFont="1" applyFill="1" applyBorder="1" applyAlignment="1" applyProtection="1">
      <alignment horizontal="center" vertical="center"/>
      <protection locked="0"/>
    </xf>
    <xf numFmtId="0" fontId="1" fillId="8" borderId="14" xfId="0" applyFont="1" applyFill="1" applyBorder="1" applyAlignment="1" applyProtection="1">
      <alignment horizontal="center" vertical="center"/>
      <protection locked="0"/>
    </xf>
    <xf numFmtId="0" fontId="1" fillId="8" borderId="3" xfId="0" applyFont="1" applyFill="1" applyBorder="1" applyAlignment="1" applyProtection="1">
      <alignment horizontal="center" vertical="center"/>
      <protection locked="0"/>
    </xf>
    <xf numFmtId="2" fontId="1" fillId="8" borderId="15" xfId="0" applyNumberFormat="1" applyFont="1" applyFill="1" applyBorder="1" applyAlignment="1" applyProtection="1">
      <alignment horizontal="center" vertical="center"/>
      <protection locked="0"/>
    </xf>
    <xf numFmtId="164" fontId="1" fillId="2" borderId="5" xfId="0" applyNumberFormat="1" applyFont="1" applyFill="1" applyBorder="1" applyAlignment="1">
      <alignment vertical="center"/>
    </xf>
    <xf numFmtId="0" fontId="0" fillId="0" borderId="5" xfId="0" applyBorder="1"/>
    <xf numFmtId="20" fontId="1" fillId="2" borderId="32" xfId="0" applyNumberFormat="1" applyFont="1" applyFill="1" applyBorder="1" applyAlignment="1" applyProtection="1">
      <alignment horizontal="center" vertical="center"/>
      <protection locked="0"/>
    </xf>
    <xf numFmtId="20" fontId="1" fillId="2" borderId="10" xfId="0" applyNumberFormat="1" applyFont="1" applyFill="1" applyBorder="1" applyAlignment="1" applyProtection="1">
      <alignment horizontal="center" vertical="center"/>
      <protection locked="0"/>
    </xf>
    <xf numFmtId="0" fontId="6" fillId="7" borderId="10" xfId="0" applyFont="1" applyFill="1" applyBorder="1" applyAlignment="1" applyProtection="1">
      <alignment horizontal="center" vertical="center"/>
      <protection locked="0"/>
    </xf>
    <xf numFmtId="0" fontId="1" fillId="7" borderId="10" xfId="0" applyFont="1" applyFill="1" applyBorder="1" applyAlignment="1" applyProtection="1">
      <alignment horizontal="center" vertical="center"/>
      <protection locked="0"/>
    </xf>
    <xf numFmtId="20" fontId="1" fillId="8" borderId="10" xfId="0" applyNumberFormat="1" applyFont="1" applyFill="1" applyBorder="1" applyAlignment="1" applyProtection="1">
      <alignment horizontal="center" vertical="center"/>
      <protection locked="0"/>
    </xf>
    <xf numFmtId="0" fontId="9" fillId="2" borderId="10" xfId="0" applyFont="1" applyFill="1" applyBorder="1" applyAlignment="1" applyProtection="1">
      <alignment horizontal="center" vertical="center"/>
      <protection locked="0"/>
    </xf>
    <xf numFmtId="19" fontId="1" fillId="7" borderId="10" xfId="0" applyNumberFormat="1" applyFont="1" applyFill="1" applyBorder="1" applyAlignment="1" applyProtection="1">
      <alignment horizontal="center" vertical="center"/>
      <protection locked="0"/>
    </xf>
    <xf numFmtId="19" fontId="1" fillId="7" borderId="33" xfId="0" applyNumberFormat="1" applyFont="1" applyFill="1" applyBorder="1" applyAlignment="1" applyProtection="1">
      <alignment horizontal="center" vertical="center"/>
      <protection locked="0"/>
    </xf>
    <xf numFmtId="19" fontId="1" fillId="2" borderId="10" xfId="0" applyNumberFormat="1" applyFont="1" applyFill="1" applyBorder="1" applyAlignment="1" applyProtection="1">
      <alignment horizontal="center" vertical="center"/>
      <protection locked="0"/>
    </xf>
    <xf numFmtId="0" fontId="0" fillId="0" borderId="34" xfId="0" applyBorder="1" applyAlignment="1" applyProtection="1">
      <alignment horizontal="center"/>
      <protection locked="0"/>
    </xf>
    <xf numFmtId="20" fontId="1" fillId="2" borderId="13" xfId="0" applyNumberFormat="1" applyFont="1" applyFill="1" applyBorder="1" applyAlignment="1" applyProtection="1">
      <alignment horizontal="center" vertical="center"/>
      <protection locked="0"/>
    </xf>
    <xf numFmtId="20" fontId="1" fillId="2" borderId="31" xfId="0" applyNumberFormat="1" applyFont="1" applyFill="1" applyBorder="1" applyAlignment="1" applyProtection="1">
      <alignment horizontal="center" vertical="center"/>
      <protection locked="0"/>
    </xf>
    <xf numFmtId="0" fontId="6" fillId="7" borderId="31" xfId="0" applyFont="1" applyFill="1" applyBorder="1" applyAlignment="1" applyProtection="1">
      <alignment horizontal="center" vertical="center"/>
      <protection locked="0"/>
    </xf>
    <xf numFmtId="0" fontId="1" fillId="7" borderId="31" xfId="0" applyFont="1" applyFill="1" applyBorder="1" applyAlignment="1" applyProtection="1">
      <alignment horizontal="center" vertical="center"/>
      <protection locked="0"/>
    </xf>
    <xf numFmtId="20" fontId="1" fillId="8" borderId="31" xfId="0" applyNumberFormat="1" applyFont="1" applyFill="1" applyBorder="1" applyAlignment="1" applyProtection="1">
      <alignment horizontal="center" vertical="center"/>
      <protection locked="0"/>
    </xf>
    <xf numFmtId="0" fontId="9" fillId="2" borderId="31" xfId="0" applyFont="1" applyFill="1" applyBorder="1" applyAlignment="1" applyProtection="1">
      <alignment horizontal="center" vertical="center"/>
      <protection locked="0"/>
    </xf>
    <xf numFmtId="19" fontId="1" fillId="7" borderId="31" xfId="0" applyNumberFormat="1" applyFont="1" applyFill="1" applyBorder="1" applyAlignment="1" applyProtection="1">
      <alignment horizontal="center" vertical="center"/>
      <protection locked="0"/>
    </xf>
    <xf numFmtId="2" fontId="1" fillId="2" borderId="35" xfId="0" applyNumberFormat="1" applyFont="1" applyFill="1" applyBorder="1" applyAlignment="1" applyProtection="1">
      <alignment horizontal="center" vertical="center"/>
      <protection locked="0"/>
    </xf>
    <xf numFmtId="15" fontId="0" fillId="0" borderId="1" xfId="0" applyNumberFormat="1" applyBorder="1"/>
    <xf numFmtId="0" fontId="0" fillId="9" borderId="3" xfId="0" applyFill="1" applyBorder="1" applyAlignment="1">
      <alignment horizontal="center"/>
    </xf>
    <xf numFmtId="0" fontId="10" fillId="9" borderId="15" xfId="0" applyFont="1" applyFill="1" applyBorder="1" applyAlignment="1" applyProtection="1">
      <alignment horizontal="center" vertical="center"/>
      <protection locked="0"/>
    </xf>
    <xf numFmtId="20" fontId="1" fillId="3" borderId="14" xfId="0" applyNumberFormat="1" applyFont="1" applyFill="1" applyBorder="1" applyAlignment="1" applyProtection="1">
      <alignment horizontal="center" vertical="center"/>
      <protection locked="0"/>
    </xf>
    <xf numFmtId="20" fontId="1" fillId="3" borderId="3" xfId="0" applyNumberFormat="1" applyFont="1" applyFill="1" applyBorder="1" applyAlignment="1" applyProtection="1">
      <alignment horizontal="center" vertical="center"/>
      <protection locked="0"/>
    </xf>
    <xf numFmtId="20" fontId="1" fillId="5" borderId="14" xfId="0" applyNumberFormat="1" applyFont="1" applyFill="1" applyBorder="1" applyAlignment="1" applyProtection="1">
      <alignment horizontal="center" vertical="center"/>
      <protection locked="0"/>
    </xf>
    <xf numFmtId="19" fontId="1" fillId="5" borderId="14" xfId="0" applyNumberFormat="1" applyFont="1" applyFill="1" applyBorder="1" applyAlignment="1" applyProtection="1">
      <alignment horizontal="center" vertical="center"/>
      <protection locked="0"/>
    </xf>
    <xf numFmtId="20" fontId="1" fillId="5" borderId="3" xfId="0" applyNumberFormat="1" applyFont="1" applyFill="1" applyBorder="1" applyAlignment="1" applyProtection="1">
      <alignment horizontal="center" vertical="center"/>
      <protection locked="0"/>
    </xf>
    <xf numFmtId="19" fontId="1" fillId="5" borderId="3" xfId="0" applyNumberFormat="1" applyFont="1" applyFill="1" applyBorder="1" applyAlignment="1" applyProtection="1">
      <alignment horizontal="center" vertical="center"/>
      <protection locked="0"/>
    </xf>
    <xf numFmtId="0" fontId="0" fillId="5" borderId="17" xfId="0" applyFill="1" applyBorder="1" applyAlignment="1" applyProtection="1">
      <alignment horizontal="center"/>
      <protection locked="0"/>
    </xf>
    <xf numFmtId="20" fontId="1" fillId="5" borderId="10" xfId="0" applyNumberFormat="1" applyFont="1" applyFill="1" applyBorder="1" applyAlignment="1" applyProtection="1">
      <alignment horizontal="center" vertical="center"/>
      <protection locked="0"/>
    </xf>
    <xf numFmtId="19" fontId="1" fillId="5" borderId="10" xfId="0" applyNumberFormat="1" applyFont="1" applyFill="1" applyBorder="1" applyAlignment="1" applyProtection="1">
      <alignment horizontal="center" vertical="center"/>
      <protection locked="0"/>
    </xf>
    <xf numFmtId="0" fontId="1" fillId="2" borderId="36" xfId="0" applyFont="1" applyFill="1" applyBorder="1" applyAlignment="1" applyProtection="1">
      <alignment horizontal="center" vertical="center"/>
      <protection locked="0"/>
    </xf>
    <xf numFmtId="0" fontId="1" fillId="2" borderId="37" xfId="0" applyFont="1" applyFill="1" applyBorder="1" applyAlignment="1" applyProtection="1">
      <alignment horizontal="center" vertical="center"/>
      <protection locked="0"/>
    </xf>
    <xf numFmtId="0" fontId="1" fillId="7" borderId="37" xfId="0" applyFont="1" applyFill="1" applyBorder="1" applyAlignment="1" applyProtection="1">
      <alignment horizontal="center" vertical="center"/>
      <protection locked="0"/>
    </xf>
    <xf numFmtId="0" fontId="1" fillId="8" borderId="37" xfId="0" applyFont="1" applyFill="1" applyBorder="1" applyAlignment="1" applyProtection="1">
      <alignment horizontal="center" vertical="center"/>
      <protection locked="0"/>
    </xf>
    <xf numFmtId="0" fontId="1" fillId="7" borderId="38" xfId="0" applyFont="1" applyFill="1" applyBorder="1" applyAlignment="1" applyProtection="1">
      <alignment horizontal="center" vertical="center"/>
      <protection locked="0"/>
    </xf>
    <xf numFmtId="0" fontId="1" fillId="2" borderId="9" xfId="0" applyFont="1" applyFill="1" applyBorder="1" applyAlignment="1" applyProtection="1">
      <alignment horizontal="center" vertical="center"/>
      <protection locked="0"/>
    </xf>
    <xf numFmtId="20" fontId="1" fillId="2" borderId="35" xfId="0" applyNumberFormat="1" applyFont="1" applyFill="1" applyBorder="1" applyAlignment="1" applyProtection="1">
      <alignment horizontal="center" vertical="center"/>
      <protection locked="0"/>
    </xf>
    <xf numFmtId="20" fontId="4" fillId="2" borderId="10" xfId="0" applyNumberFormat="1" applyFont="1" applyFill="1" applyBorder="1" applyAlignment="1" applyProtection="1">
      <alignment horizontal="center" vertical="center"/>
      <protection locked="0"/>
    </xf>
    <xf numFmtId="0" fontId="0" fillId="5" borderId="34" xfId="0" applyFill="1" applyBorder="1" applyAlignment="1" applyProtection="1">
      <alignment horizontal="center"/>
      <protection locked="0"/>
    </xf>
    <xf numFmtId="20" fontId="1" fillId="5" borderId="16" xfId="0" applyNumberFormat="1" applyFont="1" applyFill="1" applyBorder="1" applyAlignment="1" applyProtection="1">
      <alignment horizontal="center" vertical="center"/>
      <protection locked="0"/>
    </xf>
    <xf numFmtId="0" fontId="1" fillId="2" borderId="39" xfId="0" applyFont="1" applyFill="1" applyBorder="1" applyAlignment="1" applyProtection="1">
      <alignment horizontal="center" vertical="center"/>
      <protection locked="0"/>
    </xf>
    <xf numFmtId="20" fontId="1" fillId="5" borderId="34" xfId="0" applyNumberFormat="1" applyFont="1" applyFill="1" applyBorder="1" applyAlignment="1" applyProtection="1">
      <alignment horizontal="center" vertical="center"/>
      <protection locked="0"/>
    </xf>
    <xf numFmtId="0" fontId="0" fillId="0" borderId="40" xfId="0" applyBorder="1" applyProtection="1">
      <protection locked="0"/>
    </xf>
    <xf numFmtId="0" fontId="6" fillId="7" borderId="41" xfId="0" applyFont="1" applyFill="1" applyBorder="1" applyAlignment="1" applyProtection="1">
      <alignment horizontal="center" vertical="center"/>
      <protection locked="0"/>
    </xf>
    <xf numFmtId="0" fontId="1" fillId="7" borderId="41" xfId="0" applyFont="1" applyFill="1" applyBorder="1" applyAlignment="1" applyProtection="1">
      <alignment horizontal="center" vertical="center"/>
      <protection locked="0"/>
    </xf>
    <xf numFmtId="20" fontId="1" fillId="8" borderId="41" xfId="0" applyNumberFormat="1" applyFont="1" applyFill="1" applyBorder="1" applyAlignment="1" applyProtection="1">
      <alignment horizontal="center" vertical="center"/>
      <protection locked="0"/>
    </xf>
    <xf numFmtId="19" fontId="1" fillId="7" borderId="41" xfId="0" applyNumberFormat="1" applyFont="1" applyFill="1" applyBorder="1" applyAlignment="1" applyProtection="1">
      <alignment horizontal="center" vertical="center"/>
      <protection locked="0"/>
    </xf>
    <xf numFmtId="15" fontId="0" fillId="0" borderId="0" xfId="0" applyNumberFormat="1" applyAlignment="1">
      <alignment horizontal="center"/>
    </xf>
    <xf numFmtId="2" fontId="1" fillId="2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/>
      <protection locked="0"/>
    </xf>
    <xf numFmtId="164" fontId="1" fillId="2" borderId="11" xfId="0" applyNumberFormat="1" applyFont="1" applyFill="1" applyBorder="1" applyAlignment="1">
      <alignment horizontal="center" vertical="center"/>
    </xf>
    <xf numFmtId="164" fontId="1" fillId="2" borderId="14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64" fontId="1" fillId="2" borderId="12" xfId="0" applyNumberFormat="1" applyFont="1" applyFill="1" applyBorder="1" applyAlignment="1">
      <alignment horizontal="center" vertical="center"/>
    </xf>
    <xf numFmtId="164" fontId="1" fillId="2" borderId="3" xfId="0" applyNumberFormat="1" applyFont="1" applyFill="1" applyBorder="1" applyAlignment="1">
      <alignment horizontal="center" vertical="center"/>
    </xf>
    <xf numFmtId="164" fontId="1" fillId="2" borderId="13" xfId="0" applyNumberFormat="1" applyFont="1" applyFill="1" applyBorder="1" applyAlignment="1">
      <alignment horizontal="center" vertical="center"/>
    </xf>
    <xf numFmtId="164" fontId="1" fillId="2" borderId="31" xfId="0" applyNumberFormat="1" applyFont="1" applyFill="1" applyBorder="1" applyAlignment="1">
      <alignment horizontal="center" vertical="center"/>
    </xf>
    <xf numFmtId="0" fontId="0" fillId="0" borderId="20" xfId="0" applyBorder="1" applyAlignment="1">
      <alignment horizontal="center"/>
    </xf>
    <xf numFmtId="15" fontId="0" fillId="0" borderId="1" xfId="0" applyNumberFormat="1" applyBorder="1" applyAlignment="1">
      <alignment horizontal="center"/>
    </xf>
    <xf numFmtId="15" fontId="0" fillId="0" borderId="7" xfId="0" applyNumberFormat="1" applyBorder="1" applyAlignment="1">
      <alignment horizontal="center"/>
    </xf>
    <xf numFmtId="49" fontId="1" fillId="2" borderId="14" xfId="0" applyNumberFormat="1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/>
    </xf>
    <xf numFmtId="49" fontId="1" fillId="7" borderId="14" xfId="0" applyNumberFormat="1" applyFont="1" applyFill="1" applyBorder="1" applyAlignment="1" applyProtection="1">
      <alignment horizontal="center" vertical="center"/>
      <protection locked="0"/>
    </xf>
    <xf numFmtId="49" fontId="1" fillId="7" borderId="10" xfId="0" applyNumberFormat="1" applyFont="1" applyFill="1" applyBorder="1" applyAlignment="1" applyProtection="1">
      <alignment horizontal="center" vertical="center"/>
      <protection locked="0"/>
    </xf>
    <xf numFmtId="49" fontId="1" fillId="8" borderId="14" xfId="0" applyNumberFormat="1" applyFont="1" applyFill="1" applyBorder="1" applyAlignment="1" applyProtection="1">
      <alignment horizontal="center" vertical="center"/>
      <protection locked="0"/>
    </xf>
    <xf numFmtId="49" fontId="1" fillId="8" borderId="10" xfId="0" applyNumberFormat="1" applyFont="1" applyFill="1" applyBorder="1" applyAlignment="1" applyProtection="1">
      <alignment horizontal="center" vertical="center"/>
      <protection locked="0"/>
    </xf>
    <xf numFmtId="49" fontId="0" fillId="0" borderId="16" xfId="0" applyNumberFormat="1" applyBorder="1" applyAlignment="1">
      <alignment horizontal="center"/>
    </xf>
    <xf numFmtId="49" fontId="0" fillId="0" borderId="17" xfId="0" applyNumberFormat="1" applyBorder="1" applyAlignment="1">
      <alignment horizontal="center"/>
    </xf>
    <xf numFmtId="20" fontId="1" fillId="10" borderId="14" xfId="0" applyNumberFormat="1" applyFont="1" applyFill="1" applyBorder="1" applyAlignment="1" applyProtection="1">
      <alignment horizontal="center" vertical="center"/>
      <protection locked="0"/>
    </xf>
    <xf numFmtId="20" fontId="1" fillId="10" borderId="3" xfId="0" applyNumberFormat="1" applyFont="1" applyFill="1" applyBorder="1" applyAlignment="1" applyProtection="1">
      <alignment horizontal="center" vertical="center"/>
      <protection locked="0"/>
    </xf>
    <xf numFmtId="20" fontId="1" fillId="2" borderId="42" xfId="0" applyNumberFormat="1" applyFont="1" applyFill="1" applyBorder="1" applyAlignment="1" applyProtection="1">
      <alignment horizontal="center" vertical="center"/>
      <protection locked="0"/>
    </xf>
    <xf numFmtId="20" fontId="1" fillId="2" borderId="43" xfId="0" applyNumberFormat="1" applyFont="1" applyFill="1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0" fillId="0" borderId="47" xfId="0" applyBorder="1" applyProtection="1">
      <protection locked="0"/>
    </xf>
    <xf numFmtId="0" fontId="1" fillId="8" borderId="31" xfId="0" applyFont="1" applyFill="1" applyBorder="1" applyAlignment="1" applyProtection="1">
      <alignment horizontal="center" vertical="center"/>
      <protection locked="0"/>
    </xf>
    <xf numFmtId="0" fontId="1" fillId="2" borderId="16" xfId="0" applyFont="1" applyFill="1" applyBorder="1" applyAlignment="1" applyProtection="1">
      <alignment horizontal="center" vertical="center"/>
      <protection locked="0"/>
    </xf>
    <xf numFmtId="0" fontId="1" fillId="2" borderId="20" xfId="0" applyFont="1" applyFill="1" applyBorder="1" applyAlignment="1" applyProtection="1">
      <alignment horizontal="center" vertical="center"/>
      <protection locked="0"/>
    </xf>
    <xf numFmtId="0" fontId="1" fillId="2" borderId="18" xfId="0" applyFont="1" applyFill="1" applyBorder="1" applyAlignment="1" applyProtection="1">
      <alignment horizontal="center" vertical="center"/>
      <protection locked="0"/>
    </xf>
    <xf numFmtId="2" fontId="1" fillId="2" borderId="36" xfId="0" applyNumberFormat="1" applyFont="1" applyFill="1" applyBorder="1" applyAlignment="1" applyProtection="1">
      <alignment horizontal="center" vertical="center"/>
      <protection locked="0"/>
    </xf>
    <xf numFmtId="2" fontId="1" fillId="2" borderId="37" xfId="0" applyNumberFormat="1" applyFont="1" applyFill="1" applyBorder="1" applyAlignment="1" applyProtection="1">
      <alignment horizontal="center" vertical="center"/>
      <protection locked="0"/>
    </xf>
    <xf numFmtId="2" fontId="1" fillId="7" borderId="37" xfId="0" applyNumberFormat="1" applyFont="1" applyFill="1" applyBorder="1" applyAlignment="1" applyProtection="1">
      <alignment horizontal="center" vertical="center"/>
      <protection locked="0"/>
    </xf>
    <xf numFmtId="2" fontId="1" fillId="8" borderId="37" xfId="0" applyNumberFormat="1" applyFont="1" applyFill="1" applyBorder="1" applyAlignment="1" applyProtection="1">
      <alignment horizontal="center" vertical="center"/>
      <protection locked="0"/>
    </xf>
    <xf numFmtId="2" fontId="1" fillId="7" borderId="38" xfId="0" applyNumberFormat="1" applyFont="1" applyFill="1" applyBorder="1" applyAlignment="1" applyProtection="1">
      <alignment horizontal="center" vertical="center"/>
      <protection locked="0"/>
    </xf>
    <xf numFmtId="2" fontId="1" fillId="2" borderId="9" xfId="0" applyNumberFormat="1" applyFont="1" applyFill="1" applyBorder="1" applyAlignment="1" applyProtection="1">
      <alignment horizontal="center" vertical="center"/>
      <protection locked="0"/>
    </xf>
    <xf numFmtId="2" fontId="0" fillId="0" borderId="48" xfId="0" applyNumberFormat="1" applyBorder="1" applyAlignment="1" applyProtection="1">
      <alignment horizontal="center"/>
      <protection locked="0"/>
    </xf>
    <xf numFmtId="20" fontId="1" fillId="3" borderId="10" xfId="0" applyNumberFormat="1" applyFont="1" applyFill="1" applyBorder="1" applyAlignment="1" applyProtection="1">
      <alignment horizontal="center" vertical="center"/>
      <protection locked="0"/>
    </xf>
    <xf numFmtId="2" fontId="0" fillId="0" borderId="2" xfId="0" applyNumberFormat="1" applyBorder="1" applyAlignment="1" applyProtection="1">
      <alignment horizontal="center"/>
      <protection locked="0"/>
    </xf>
    <xf numFmtId="2" fontId="1" fillId="7" borderId="31" xfId="0" applyNumberFormat="1" applyFont="1" applyFill="1" applyBorder="1" applyAlignment="1" applyProtection="1">
      <alignment horizontal="center" vertical="center"/>
      <protection locked="0"/>
    </xf>
    <xf numFmtId="2" fontId="1" fillId="8" borderId="31" xfId="0" applyNumberFormat="1" applyFont="1" applyFill="1" applyBorder="1" applyAlignment="1" applyProtection="1">
      <alignment horizontal="center" vertical="center"/>
      <protection locked="0"/>
    </xf>
    <xf numFmtId="49" fontId="1" fillId="2" borderId="11" xfId="0" applyNumberFormat="1" applyFont="1" applyFill="1" applyBorder="1" applyAlignment="1" applyProtection="1">
      <alignment horizontal="center" vertical="center"/>
      <protection locked="0"/>
    </xf>
    <xf numFmtId="49" fontId="1" fillId="2" borderId="12" xfId="0" applyNumberFormat="1" applyFont="1" applyFill="1" applyBorder="1" applyAlignment="1" applyProtection="1">
      <alignment horizontal="center" vertical="center"/>
      <protection locked="0"/>
    </xf>
    <xf numFmtId="49" fontId="1" fillId="2" borderId="14" xfId="0" applyNumberFormat="1" applyFont="1" applyFill="1" applyBorder="1" applyAlignment="1" applyProtection="1">
      <alignment horizontal="center" vertical="center"/>
      <protection locked="0"/>
    </xf>
    <xf numFmtId="49" fontId="1" fillId="2" borderId="3" xfId="0" applyNumberFormat="1" applyFont="1" applyFill="1" applyBorder="1" applyAlignment="1" applyProtection="1">
      <alignment horizontal="center" vertical="center"/>
      <protection locked="0"/>
    </xf>
    <xf numFmtId="49" fontId="1" fillId="7" borderId="3" xfId="0" applyNumberFormat="1" applyFont="1" applyFill="1" applyBorder="1" applyAlignment="1" applyProtection="1">
      <alignment horizontal="center" vertical="center"/>
      <protection locked="0"/>
    </xf>
    <xf numFmtId="49" fontId="1" fillId="2" borderId="19" xfId="0" applyNumberFormat="1" applyFont="1" applyFill="1" applyBorder="1" applyAlignment="1" applyProtection="1">
      <alignment horizontal="center" vertical="center"/>
      <protection locked="0"/>
    </xf>
    <xf numFmtId="49" fontId="1" fillId="2" borderId="4" xfId="0" applyNumberFormat="1" applyFont="1" applyFill="1" applyBorder="1" applyAlignment="1" applyProtection="1">
      <alignment horizontal="center" vertical="center"/>
      <protection locked="0"/>
    </xf>
    <xf numFmtId="49" fontId="1" fillId="8" borderId="3" xfId="0" applyNumberFormat="1" applyFont="1" applyFill="1" applyBorder="1" applyAlignment="1" applyProtection="1">
      <alignment horizontal="center" vertical="center"/>
      <protection locked="0"/>
    </xf>
    <xf numFmtId="49" fontId="0" fillId="0" borderId="16" xfId="0" applyNumberFormat="1" applyBorder="1" applyAlignment="1" applyProtection="1">
      <alignment horizontal="center"/>
      <protection locked="0"/>
    </xf>
    <xf numFmtId="49" fontId="0" fillId="0" borderId="17" xfId="0" applyNumberFormat="1" applyBorder="1" applyAlignment="1" applyProtection="1">
      <alignment horizontal="center"/>
      <protection locked="0"/>
    </xf>
    <xf numFmtId="0" fontId="1" fillId="2" borderId="49" xfId="0" applyFont="1" applyFill="1" applyBorder="1" applyAlignment="1" applyProtection="1">
      <alignment horizontal="center" vertical="center"/>
      <protection locked="0"/>
    </xf>
    <xf numFmtId="20" fontId="1" fillId="6" borderId="14" xfId="0" applyNumberFormat="1" applyFont="1" applyFill="1" applyBorder="1" applyAlignment="1" applyProtection="1">
      <alignment horizontal="center" vertical="center"/>
      <protection locked="0"/>
    </xf>
    <xf numFmtId="49" fontId="1" fillId="2" borderId="10" xfId="0" applyNumberFormat="1" applyFont="1" applyFill="1" applyBorder="1" applyAlignment="1" applyProtection="1">
      <alignment horizontal="center" vertical="center"/>
      <protection locked="0"/>
    </xf>
    <xf numFmtId="0" fontId="2" fillId="7" borderId="10" xfId="0" applyFont="1" applyFill="1" applyBorder="1" applyAlignment="1" applyProtection="1">
      <alignment horizontal="center" vertical="center"/>
      <protection locked="0"/>
    </xf>
    <xf numFmtId="20" fontId="1" fillId="3" borderId="16" xfId="0" applyNumberFormat="1" applyFont="1" applyFill="1" applyBorder="1" applyAlignment="1" applyProtection="1">
      <alignment horizontal="center" vertical="center"/>
      <protection locked="0"/>
    </xf>
    <xf numFmtId="20" fontId="1" fillId="3" borderId="17" xfId="0" applyNumberFormat="1" applyFont="1" applyFill="1" applyBorder="1" applyAlignment="1" applyProtection="1">
      <alignment horizontal="center" vertical="center"/>
      <protection locked="0"/>
    </xf>
    <xf numFmtId="49" fontId="0" fillId="0" borderId="34" xfId="0" applyNumberFormat="1" applyBorder="1" applyAlignment="1" applyProtection="1">
      <alignment horizontal="center"/>
      <protection locked="0"/>
    </xf>
    <xf numFmtId="0" fontId="0" fillId="0" borderId="48" xfId="0" applyBorder="1" applyAlignment="1" applyProtection="1">
      <alignment horizontal="center"/>
      <protection locked="0"/>
    </xf>
    <xf numFmtId="20" fontId="1" fillId="2" borderId="16" xfId="0" applyNumberFormat="1" applyFont="1" applyFill="1" applyBorder="1" applyAlignment="1" applyProtection="1">
      <alignment horizontal="center" vertical="center"/>
      <protection locked="0"/>
    </xf>
    <xf numFmtId="20" fontId="0" fillId="0" borderId="16" xfId="0" applyNumberFormat="1" applyBorder="1" applyAlignment="1" applyProtection="1">
      <alignment horizontal="center"/>
      <protection locked="0"/>
    </xf>
    <xf numFmtId="20" fontId="1" fillId="2" borderId="17" xfId="0" applyNumberFormat="1" applyFont="1" applyFill="1" applyBorder="1" applyAlignment="1" applyProtection="1">
      <alignment horizontal="center" vertical="center"/>
      <protection locked="0"/>
    </xf>
    <xf numFmtId="20" fontId="0" fillId="0" borderId="17" xfId="0" applyNumberFormat="1" applyBorder="1" applyAlignment="1" applyProtection="1">
      <alignment horizontal="center"/>
      <protection locked="0"/>
    </xf>
    <xf numFmtId="0" fontId="1" fillId="0" borderId="44" xfId="0" applyFont="1" applyBorder="1" applyAlignment="1" applyProtection="1">
      <alignment horizontal="center" vertical="center"/>
      <protection locked="0"/>
    </xf>
    <xf numFmtId="0" fontId="1" fillId="0" borderId="45" xfId="0" applyFont="1" applyBorder="1" applyAlignment="1" applyProtection="1">
      <alignment horizontal="center" vertical="center"/>
      <protection locked="0"/>
    </xf>
    <xf numFmtId="0" fontId="1" fillId="0" borderId="46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 applyProtection="1">
      <alignment horizontal="center" vertical="center"/>
      <protection locked="0"/>
    </xf>
    <xf numFmtId="0" fontId="1" fillId="0" borderId="7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40" xfId="0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84A36-8B75-4DF0-A79A-9F1468A7BB9D}">
  <dimension ref="A1:DP42"/>
  <sheetViews>
    <sheetView tabSelected="1" topLeftCell="A9" zoomScaleNormal="100" workbookViewId="0">
      <pane xSplit="1" topLeftCell="CV1" activePane="topRight" state="frozen"/>
      <selection pane="topRight" activeCell="DC29" sqref="DC29"/>
    </sheetView>
  </sheetViews>
  <sheetFormatPr defaultColWidth="8.88671875" defaultRowHeight="14.4"/>
  <cols>
    <col min="1" max="1" width="10" customWidth="1"/>
    <col min="2" max="5" width="10" style="163" customWidth="1"/>
    <col min="6" max="9" width="10" customWidth="1"/>
    <col min="10" max="11" width="10" style="19" bestFit="1" customWidth="1"/>
    <col min="12" max="13" width="8.88671875" style="19"/>
    <col min="14" max="14" width="10" style="19" bestFit="1" customWidth="1"/>
    <col min="15" max="15" width="8.88671875" style="19"/>
    <col min="16" max="21" width="8.88671875" style="20"/>
    <col min="22" max="23" width="8.88671875" style="19"/>
    <col min="24" max="25" width="8.88671875" style="20"/>
    <col min="26" max="29" width="8.88671875" style="19" customWidth="1"/>
    <col min="30" max="37" width="8.88671875" style="19"/>
    <col min="38" max="45" width="10.44140625" style="19" customWidth="1"/>
    <col min="46" max="49" width="9.109375" style="19" customWidth="1"/>
    <col min="50" max="50" width="10" style="19" bestFit="1" customWidth="1"/>
    <col min="51" max="53" width="8.88671875" style="19"/>
    <col min="54" max="61" width="9.33203125" style="19" customWidth="1"/>
    <col min="62" max="65" width="8.88671875" style="19"/>
    <col min="66" max="69" width="9.5546875" style="19" customWidth="1"/>
    <col min="70" max="105" width="8.88671875" style="19"/>
    <col min="106" max="107" width="10" style="19" bestFit="1" customWidth="1"/>
    <col min="108" max="113" width="8.88671875" style="19"/>
    <col min="114" max="115" width="10" style="19" bestFit="1" customWidth="1"/>
    <col min="116" max="120" width="8.88671875" style="19"/>
    <col min="121" max="16384" width="8.88671875" style="8"/>
  </cols>
  <sheetData>
    <row r="1" spans="1:120" ht="15" thickBot="1">
      <c r="A1" s="1" t="s">
        <v>0</v>
      </c>
      <c r="B1" s="227" t="s">
        <v>84</v>
      </c>
      <c r="C1" s="228"/>
      <c r="D1" s="228"/>
      <c r="E1" s="229"/>
      <c r="F1" s="227" t="s">
        <v>65</v>
      </c>
      <c r="G1" s="228"/>
      <c r="H1" s="228"/>
      <c r="I1" s="229"/>
      <c r="J1" s="230" t="s">
        <v>4</v>
      </c>
      <c r="K1" s="231"/>
      <c r="L1" s="231"/>
      <c r="M1" s="232"/>
      <c r="N1" s="230" t="s">
        <v>18</v>
      </c>
      <c r="O1" s="231"/>
      <c r="P1" s="231"/>
      <c r="Q1" s="232"/>
      <c r="R1" s="230" t="s">
        <v>95</v>
      </c>
      <c r="S1" s="231"/>
      <c r="T1" s="231"/>
      <c r="U1" s="232"/>
      <c r="V1" s="230" t="s">
        <v>20</v>
      </c>
      <c r="W1" s="231"/>
      <c r="X1" s="231"/>
      <c r="Y1" s="232"/>
      <c r="Z1" s="230" t="s">
        <v>23</v>
      </c>
      <c r="AA1" s="231"/>
      <c r="AB1" s="231"/>
      <c r="AC1" s="232"/>
      <c r="AD1" s="230" t="s">
        <v>15</v>
      </c>
      <c r="AE1" s="231"/>
      <c r="AF1" s="231"/>
      <c r="AG1" s="232"/>
      <c r="AH1" s="230" t="s">
        <v>30</v>
      </c>
      <c r="AI1" s="231"/>
      <c r="AJ1" s="231"/>
      <c r="AK1" s="232"/>
      <c r="AL1" s="230" t="s">
        <v>16</v>
      </c>
      <c r="AM1" s="231"/>
      <c r="AN1" s="231"/>
      <c r="AO1" s="232"/>
      <c r="AP1" s="230" t="s">
        <v>1</v>
      </c>
      <c r="AQ1" s="231"/>
      <c r="AR1" s="231"/>
      <c r="AS1" s="232"/>
      <c r="AT1" s="230" t="s">
        <v>10</v>
      </c>
      <c r="AU1" s="231"/>
      <c r="AV1" s="231"/>
      <c r="AW1" s="232"/>
      <c r="AX1" s="230" t="s">
        <v>21</v>
      </c>
      <c r="AY1" s="231"/>
      <c r="AZ1" s="231"/>
      <c r="BA1" s="232"/>
      <c r="BB1" s="230" t="s">
        <v>3</v>
      </c>
      <c r="BC1" s="231"/>
      <c r="BD1" s="231"/>
      <c r="BE1" s="232"/>
      <c r="BF1" s="222" t="s">
        <v>115</v>
      </c>
      <c r="BG1" s="223"/>
      <c r="BH1" s="223"/>
      <c r="BI1" s="224"/>
      <c r="BJ1" s="230" t="s">
        <v>8</v>
      </c>
      <c r="BK1" s="231"/>
      <c r="BL1" s="231"/>
      <c r="BM1" s="232"/>
      <c r="BN1" s="230" t="s">
        <v>14</v>
      </c>
      <c r="BO1" s="231"/>
      <c r="BP1" s="231"/>
      <c r="BQ1" s="232"/>
      <c r="BR1" s="230" t="s">
        <v>13</v>
      </c>
      <c r="BS1" s="231"/>
      <c r="BT1" s="231"/>
      <c r="BU1" s="232"/>
      <c r="BV1" s="230" t="s">
        <v>6</v>
      </c>
      <c r="BW1" s="231"/>
      <c r="BX1" s="231"/>
      <c r="BY1" s="232"/>
      <c r="BZ1" s="230" t="s">
        <v>99</v>
      </c>
      <c r="CA1" s="231"/>
      <c r="CB1" s="231"/>
      <c r="CC1" s="232"/>
      <c r="CD1" s="230" t="s">
        <v>9</v>
      </c>
      <c r="CE1" s="231"/>
      <c r="CF1" s="231"/>
      <c r="CG1" s="232"/>
      <c r="CH1" s="230" t="s">
        <v>5</v>
      </c>
      <c r="CI1" s="231"/>
      <c r="CJ1" s="231"/>
      <c r="CK1" s="232"/>
      <c r="CL1" s="230" t="s">
        <v>7</v>
      </c>
      <c r="CM1" s="231"/>
      <c r="CN1" s="231"/>
      <c r="CO1" s="232"/>
      <c r="CP1" s="230" t="s">
        <v>17</v>
      </c>
      <c r="CQ1" s="231"/>
      <c r="CR1" s="231"/>
      <c r="CS1" s="232"/>
      <c r="CT1" s="230" t="s">
        <v>2</v>
      </c>
      <c r="CU1" s="231"/>
      <c r="CV1" s="231"/>
      <c r="CW1" s="232"/>
      <c r="CX1" s="222" t="s">
        <v>92</v>
      </c>
      <c r="CY1" s="223"/>
      <c r="CZ1" s="223"/>
      <c r="DA1" s="224"/>
      <c r="DB1" s="230" t="s">
        <v>19</v>
      </c>
      <c r="DC1" s="231"/>
      <c r="DD1" s="231"/>
      <c r="DE1" s="232"/>
      <c r="DF1" s="230" t="s">
        <v>22</v>
      </c>
      <c r="DG1" s="231"/>
      <c r="DH1" s="231"/>
      <c r="DI1" s="232"/>
      <c r="DJ1" s="230" t="s">
        <v>31</v>
      </c>
      <c r="DK1" s="231"/>
      <c r="DL1" s="231"/>
      <c r="DM1" s="232"/>
      <c r="DN1" s="7" t="s">
        <v>11</v>
      </c>
      <c r="DO1" s="7" t="s">
        <v>12</v>
      </c>
      <c r="DP1" s="8"/>
    </row>
    <row r="2" spans="1:120" ht="15" thickBot="1">
      <c r="A2" s="53" t="s">
        <v>33</v>
      </c>
      <c r="B2" s="161"/>
      <c r="C2" s="164"/>
      <c r="D2" s="10" t="str">
        <f t="shared" ref="D2:D32" si="0">TEXT(C2-B2,"h""h ""mm""m""")</f>
        <v>0h 00m</v>
      </c>
      <c r="E2" s="166"/>
      <c r="F2" s="111">
        <v>0.30208333333333331</v>
      </c>
      <c r="G2" s="27">
        <v>0.67708333333333337</v>
      </c>
      <c r="H2" s="28" t="str">
        <f t="shared" ref="H2:H32" si="1">TEXT(G2-F2,"h""h ""mm""m""")</f>
        <v>9h 00m</v>
      </c>
      <c r="I2" s="121"/>
      <c r="J2" s="111">
        <v>0.28749999999999998</v>
      </c>
      <c r="K2" s="27">
        <v>0.50486111111111109</v>
      </c>
      <c r="L2" s="28" t="str">
        <f>TEXT(K2-J2,"h""h ""mm""m""")</f>
        <v>5h 13m</v>
      </c>
      <c r="M2" s="29"/>
      <c r="N2" s="26">
        <v>0.29722222222222222</v>
      </c>
      <c r="O2" s="27">
        <v>0.6875</v>
      </c>
      <c r="P2" s="28" t="str">
        <f>TEXT(O2-N2,"h""h ""mm""m""")</f>
        <v>9h 22m</v>
      </c>
      <c r="Q2" s="189"/>
      <c r="R2" s="200"/>
      <c r="S2" s="201"/>
      <c r="T2" s="28" t="str">
        <f t="shared" ref="T2:T12" si="2">TEXT(S2-R2,"h""h ""mm""m""")</f>
        <v>0h 00m</v>
      </c>
      <c r="U2" s="29"/>
      <c r="V2" s="26">
        <v>0.27500000000000002</v>
      </c>
      <c r="W2" s="27">
        <v>0.67847222222222225</v>
      </c>
      <c r="X2" s="34" t="str">
        <f>TEXT(W2-V2,"h""h ""mm""m""")</f>
        <v>9h 41m</v>
      </c>
      <c r="Y2" s="37"/>
      <c r="Z2" s="111">
        <v>0.29166666666666669</v>
      </c>
      <c r="AA2" s="27">
        <v>0.67847222222222225</v>
      </c>
      <c r="AB2" s="34" t="str">
        <f>TEXT(AA2-Z2,"h""h ""mm""m""")</f>
        <v>9h 17m</v>
      </c>
      <c r="AC2" s="37"/>
      <c r="AD2" s="39">
        <v>0.28472222222222221</v>
      </c>
      <c r="AE2" s="27">
        <v>0.6875</v>
      </c>
      <c r="AF2" s="34" t="str">
        <f>TEXT(AE2-AD2,"h""h ""mm""m""")</f>
        <v>9h 40m</v>
      </c>
      <c r="AG2" s="37"/>
      <c r="AH2" s="26">
        <v>0.2951388888888889</v>
      </c>
      <c r="AI2" s="27">
        <v>0.67777777777777781</v>
      </c>
      <c r="AJ2" s="34" t="str">
        <f>TEXT(AI2-AH2,"h""h ""mm""m""")</f>
        <v>9h 11m</v>
      </c>
      <c r="AK2" s="37"/>
      <c r="AL2" s="39">
        <v>0.27430555555555558</v>
      </c>
      <c r="AM2" s="27">
        <v>0.71180555555555558</v>
      </c>
      <c r="AN2" s="34" t="str">
        <f>TEXT(AM2-AL2,"h""h ""mm""m""")</f>
        <v>10h 30m</v>
      </c>
      <c r="AO2" s="37"/>
      <c r="AP2" s="181">
        <v>0.30208333333333331</v>
      </c>
      <c r="AQ2" s="182">
        <v>0.67708333333333337</v>
      </c>
      <c r="AR2" s="34" t="str">
        <f>TEXT(AQ2-AP2,"h""h ""mm""m""")</f>
        <v>9h 00m</v>
      </c>
      <c r="AS2" s="37"/>
      <c r="AT2" s="26">
        <v>0.29722222222222222</v>
      </c>
      <c r="AU2" s="27">
        <v>0.5</v>
      </c>
      <c r="AV2" s="34" t="str">
        <f>TEXT(AU2-AT2,"h""h ""mm""m""")</f>
        <v>4h 52m</v>
      </c>
      <c r="AW2" s="37"/>
      <c r="AX2" s="26">
        <v>0.29236111111111113</v>
      </c>
      <c r="AY2" s="27">
        <v>0.67986111111111114</v>
      </c>
      <c r="AZ2" s="34" t="str">
        <f>TEXT(AY2-AX2,"h""h ""mm""m""")</f>
        <v>9h 18m</v>
      </c>
      <c r="BA2" s="37"/>
      <c r="BB2" s="26">
        <v>0.29930555555555555</v>
      </c>
      <c r="BC2" s="27">
        <v>0.68055555555555558</v>
      </c>
      <c r="BD2" s="34" t="str">
        <f>TEXT(BC2-BB2,"h""h ""mm""m""")</f>
        <v>9h 09m</v>
      </c>
      <c r="BE2" s="141"/>
      <c r="BF2" s="33"/>
      <c r="BG2" s="34"/>
      <c r="BH2" s="34" t="str">
        <f t="shared" ref="BH2:BH30" si="3">TEXT(BG2-BF2,"h""h ""mm""m""")</f>
        <v>0h 00m</v>
      </c>
      <c r="BI2" s="37"/>
      <c r="BJ2" s="111">
        <v>0.29166666666666669</v>
      </c>
      <c r="BK2" s="27">
        <v>0.66666666666666663</v>
      </c>
      <c r="BL2" s="34" t="str">
        <f>TEXT(BK2-BJ2,"h""h ""mm""m""")</f>
        <v>9h 00m</v>
      </c>
      <c r="BM2" s="37"/>
      <c r="BN2" s="26">
        <v>0.2902777777777778</v>
      </c>
      <c r="BO2" s="27">
        <v>0.67777777777777781</v>
      </c>
      <c r="BP2" s="34" t="str">
        <f t="shared" ref="BP2:BP4" si="4">TEXT(BO2-BN2,"h""h ""mm""m""")</f>
        <v>9h 18m</v>
      </c>
      <c r="BQ2" s="37"/>
      <c r="BR2" s="26">
        <v>0.30208333333333331</v>
      </c>
      <c r="BS2" s="27">
        <v>0.67708333333333337</v>
      </c>
      <c r="BT2" s="34" t="str">
        <f t="shared" ref="BT2:BT5" si="5">TEXT(BS2-BR2,"h""h ""mm""m""")</f>
        <v>9h 00m</v>
      </c>
      <c r="BU2" s="141"/>
      <c r="BV2" s="26">
        <v>0.2951388888888889</v>
      </c>
      <c r="BW2" s="27">
        <v>0.69861111111111107</v>
      </c>
      <c r="BX2" s="34" t="str">
        <f t="shared" ref="BX2:BX5" si="6">TEXT(BW2-BV2,"h""h ""mm""m""")</f>
        <v>9h 41m</v>
      </c>
      <c r="BY2" s="141"/>
      <c r="BZ2" s="33"/>
      <c r="CA2" s="34"/>
      <c r="CB2" s="34" t="str">
        <f t="shared" ref="CB2:CB12" si="7">TEXT(CA2-BZ2,"h""h ""mm""m""")</f>
        <v>0h 00m</v>
      </c>
      <c r="CC2" s="37"/>
      <c r="CD2" s="111">
        <v>0.30208333333333331</v>
      </c>
      <c r="CE2" s="27">
        <v>0.66666666666666663</v>
      </c>
      <c r="CF2" s="34" t="str">
        <f t="shared" ref="CF2:CF5" si="8">TEXT(CE2-CD2,"h""h ""mm""m""")</f>
        <v>8h 45m</v>
      </c>
      <c r="CG2" s="37"/>
      <c r="CH2" s="26">
        <v>0.30208333333333331</v>
      </c>
      <c r="CI2" s="27">
        <v>0.66666666666666663</v>
      </c>
      <c r="CJ2" s="34" t="str">
        <f t="shared" ref="CJ2:CJ5" si="9">TEXT(CI2-CH2,"h""h ""mm""m""")</f>
        <v>8h 45m</v>
      </c>
      <c r="CK2" s="37"/>
      <c r="CL2" s="26">
        <v>0.29722222222222222</v>
      </c>
      <c r="CM2" s="27">
        <v>0.6791666666666667</v>
      </c>
      <c r="CN2" s="34" t="str">
        <f t="shared" ref="CN2:CN5" si="10">TEXT(CM2-CL2,"h""h ""mm""m""")</f>
        <v>9h 10m</v>
      </c>
      <c r="CO2" s="37"/>
      <c r="CP2" s="26">
        <v>0.28333333333333333</v>
      </c>
      <c r="CQ2" s="27">
        <v>0.66805555555555551</v>
      </c>
      <c r="CR2" s="34" t="str">
        <f t="shared" ref="CR2:CR5" si="11">TEXT(CQ2-CP2,"h""h ""mm""m""")</f>
        <v>9h 14m</v>
      </c>
      <c r="CS2" s="37"/>
      <c r="CT2" s="26">
        <v>0.30208333333333331</v>
      </c>
      <c r="CU2" s="27">
        <v>0.67708333333333337</v>
      </c>
      <c r="CV2" s="34" t="str">
        <f t="shared" ref="CV2:CV5" si="12">TEXT(CU2-CT2,"h""h ""mm""m""")</f>
        <v>9h 00m</v>
      </c>
      <c r="CW2" s="141"/>
      <c r="CX2" s="33"/>
      <c r="CY2" s="34"/>
      <c r="CZ2" s="34" t="str">
        <f t="shared" ref="CZ2:CZ11" si="13">TEXT(CY2-CX2,"h""h ""mm""m""")</f>
        <v>0h 00m</v>
      </c>
      <c r="DA2" s="37"/>
      <c r="DB2" s="111">
        <v>0.28819444444444442</v>
      </c>
      <c r="DC2" s="27">
        <v>0.67708333333333337</v>
      </c>
      <c r="DD2" s="34" t="str">
        <f t="shared" ref="DD2:DD5" si="14">TEXT(DC2-DB2,"h""h ""mm""m""")</f>
        <v>9h 20m</v>
      </c>
      <c r="DE2" s="37"/>
      <c r="DF2" s="33"/>
      <c r="DG2" s="34"/>
      <c r="DH2" s="34" t="str">
        <f t="shared" ref="DH2:DH5" si="15">TEXT(DG2-DF2,"h""h ""mm""m""")</f>
        <v>0h 00m</v>
      </c>
      <c r="DI2" s="37"/>
      <c r="DJ2" s="26">
        <v>0.30069444444444443</v>
      </c>
      <c r="DK2" s="27">
        <v>0.68055555555555558</v>
      </c>
      <c r="DL2" s="34" t="str">
        <f t="shared" ref="DL2:DL5" si="16">TEXT(DK2-DJ2,"h""h ""mm""m""")</f>
        <v>9h 07m</v>
      </c>
      <c r="DM2" s="37"/>
      <c r="DN2" s="43"/>
      <c r="DO2" s="43"/>
      <c r="DP2" s="8"/>
    </row>
    <row r="3" spans="1:120" ht="15" thickBot="1">
      <c r="A3" s="53" t="s">
        <v>34</v>
      </c>
      <c r="B3" s="162"/>
      <c r="C3" s="165"/>
      <c r="D3" s="10" t="str">
        <f t="shared" si="0"/>
        <v>0h 00m</v>
      </c>
      <c r="E3" s="167"/>
      <c r="F3" s="112">
        <v>0.28958333333333336</v>
      </c>
      <c r="G3" s="12">
        <v>0.67777777777777781</v>
      </c>
      <c r="H3" s="10" t="str">
        <f t="shared" si="1"/>
        <v>9h 19m</v>
      </c>
      <c r="I3" s="31"/>
      <c r="J3" s="128"/>
      <c r="K3" s="10"/>
      <c r="L3" s="10" t="str">
        <f t="shared" ref="L3:L32" si="17">TEXT(K3-J3,"h""h ""mm""m""")</f>
        <v>0h 00m</v>
      </c>
      <c r="M3" s="31"/>
      <c r="N3" s="30">
        <v>0.29166666666666669</v>
      </c>
      <c r="O3" s="12">
        <v>0.68055555555555558</v>
      </c>
      <c r="P3" s="10" t="str">
        <f t="shared" ref="P3:P32" si="18">TEXT(O3-N3,"h""h ""mm""m""")</f>
        <v>9h 20m</v>
      </c>
      <c r="Q3" s="190"/>
      <c r="R3" s="202"/>
      <c r="S3" s="203"/>
      <c r="T3" s="10" t="str">
        <f t="shared" si="2"/>
        <v>0h 00m</v>
      </c>
      <c r="U3" s="62"/>
      <c r="V3" s="30">
        <v>0.27083333333333331</v>
      </c>
      <c r="W3" s="12">
        <v>0.6791666666666667</v>
      </c>
      <c r="X3" s="11" t="str">
        <f t="shared" ref="X3:X28" si="19">TEXT(W3-V3,"h""h ""mm""m""")</f>
        <v>9h 48m</v>
      </c>
      <c r="Y3" s="32"/>
      <c r="Z3" s="112">
        <v>0.2951388888888889</v>
      </c>
      <c r="AA3" s="12">
        <v>0.67708333333333337</v>
      </c>
      <c r="AB3" s="11" t="str">
        <f t="shared" ref="AB3:AB32" si="20">TEXT(AA3-Z3,"h""h ""mm""m""")</f>
        <v>9h 10m</v>
      </c>
      <c r="AC3" s="32"/>
      <c r="AD3" s="30">
        <v>0.28125</v>
      </c>
      <c r="AE3" s="12">
        <v>0.68402777777777779</v>
      </c>
      <c r="AF3" s="11" t="str">
        <f t="shared" ref="AF3:AF28" si="21">TEXT(AE3-AD3,"h""h ""mm""m""")</f>
        <v>9h 40m</v>
      </c>
      <c r="AG3" s="32"/>
      <c r="AH3" s="36">
        <v>0.29791666666666666</v>
      </c>
      <c r="AI3" s="9">
        <v>0.67708333333333337</v>
      </c>
      <c r="AJ3" s="11" t="str">
        <f t="shared" ref="AJ3:AJ28" si="22">TEXT(AI3-AH3,"h""h ""mm""m""")</f>
        <v>9h 06m</v>
      </c>
      <c r="AK3" s="32"/>
      <c r="AL3" s="40">
        <v>0.28472222222222221</v>
      </c>
      <c r="AM3" s="12">
        <v>0.68055555555555558</v>
      </c>
      <c r="AN3" s="11" t="str">
        <f t="shared" ref="AN3:AN28" si="23">TEXT(AM3-AL3,"h""h ""mm""m""")</f>
        <v>9h 30m</v>
      </c>
      <c r="AO3" s="32"/>
      <c r="AP3" s="30">
        <v>0.30208333333333331</v>
      </c>
      <c r="AQ3" s="12">
        <v>0.67708333333333337</v>
      </c>
      <c r="AR3" s="11" t="str">
        <f t="shared" ref="AR3:AR28" si="24">TEXT(AQ3-AP3,"h""h ""mm""m""")</f>
        <v>9h 00m</v>
      </c>
      <c r="AS3" s="32"/>
      <c r="AT3" s="42">
        <v>0.29930555555555555</v>
      </c>
      <c r="AU3" s="13">
        <v>0.67708333333333337</v>
      </c>
      <c r="AV3" s="11" t="str">
        <f t="shared" ref="AV3:AV28" si="25">TEXT(AU3-AT3,"h""h ""mm""m""")</f>
        <v>9h 04m</v>
      </c>
      <c r="AW3" s="32"/>
      <c r="AX3" s="30">
        <v>0.2951388888888889</v>
      </c>
      <c r="AY3" s="12">
        <v>0.67847222222222225</v>
      </c>
      <c r="AZ3" s="11" t="str">
        <f t="shared" ref="AZ3:AZ28" si="26">TEXT(AY3-AX3,"h""h ""mm""m""")</f>
        <v>9h 12m</v>
      </c>
      <c r="BA3" s="32"/>
      <c r="BB3" s="30">
        <v>0.29305555555555557</v>
      </c>
      <c r="BC3" s="12">
        <v>0.67777777777777781</v>
      </c>
      <c r="BD3" s="11" t="str">
        <f t="shared" ref="BD3:BD28" si="27">TEXT(BC3-BB3,"h""h ""mm""m""")</f>
        <v>9h 14m</v>
      </c>
      <c r="BE3" s="142"/>
      <c r="BF3" s="38"/>
      <c r="BG3" s="14"/>
      <c r="BH3" s="14" t="str">
        <f t="shared" si="3"/>
        <v>0h 00m</v>
      </c>
      <c r="BI3" s="56"/>
      <c r="BJ3" s="112">
        <v>0.29166666666666669</v>
      </c>
      <c r="BK3" s="12">
        <v>0.67708333333333337</v>
      </c>
      <c r="BL3" s="11" t="str">
        <f t="shared" ref="BL3:BL28" si="28">TEXT(BK3-BJ3,"h""h ""mm""m""")</f>
        <v>9h 15m</v>
      </c>
      <c r="BM3" s="32"/>
      <c r="BN3" s="30">
        <v>0.2986111111111111</v>
      </c>
      <c r="BO3" s="12">
        <v>0.67708333333333337</v>
      </c>
      <c r="BP3" s="11" t="str">
        <f t="shared" si="4"/>
        <v>9h 05m</v>
      </c>
      <c r="BQ3" s="32"/>
      <c r="BR3" s="30">
        <v>0.29722222222222222</v>
      </c>
      <c r="BS3" s="12">
        <v>0.67708333333333337</v>
      </c>
      <c r="BT3" s="11" t="str">
        <f t="shared" si="5"/>
        <v>9h 07m</v>
      </c>
      <c r="BU3" s="142"/>
      <c r="BV3" s="30">
        <v>0.29791666666666666</v>
      </c>
      <c r="BW3" s="12">
        <v>0.67708333333333337</v>
      </c>
      <c r="BX3" s="11" t="str">
        <f t="shared" si="6"/>
        <v>9h 06m</v>
      </c>
      <c r="BY3" s="142"/>
      <c r="BZ3" s="38"/>
      <c r="CA3" s="14"/>
      <c r="CB3" s="11" t="str">
        <f t="shared" si="7"/>
        <v>0h 00m</v>
      </c>
      <c r="CC3" s="56"/>
      <c r="CD3" s="112">
        <v>0.2986111111111111</v>
      </c>
      <c r="CE3" s="12">
        <v>0.67708333333333337</v>
      </c>
      <c r="CF3" s="11" t="str">
        <f t="shared" si="8"/>
        <v>9h 05m</v>
      </c>
      <c r="CG3" s="32"/>
      <c r="CH3" s="36">
        <v>0.29166666666666669</v>
      </c>
      <c r="CI3" s="12">
        <v>0.67708333333333337</v>
      </c>
      <c r="CJ3" s="11" t="str">
        <f t="shared" si="9"/>
        <v>9h 15m</v>
      </c>
      <c r="CK3" s="32"/>
      <c r="CL3" s="36">
        <v>0.29791666666666666</v>
      </c>
      <c r="CM3" s="12">
        <v>0.6791666666666667</v>
      </c>
      <c r="CN3" s="11" t="str">
        <f t="shared" si="10"/>
        <v>9h 09m</v>
      </c>
      <c r="CO3" s="32"/>
      <c r="CP3" s="30">
        <v>0.29166666666666669</v>
      </c>
      <c r="CQ3" s="12">
        <v>0.67708333333333337</v>
      </c>
      <c r="CR3" s="11" t="str">
        <f t="shared" si="11"/>
        <v>9h 15m</v>
      </c>
      <c r="CS3" s="32"/>
      <c r="CT3" s="30">
        <v>0.30138888888888887</v>
      </c>
      <c r="CU3" s="12">
        <v>0.67708333333333337</v>
      </c>
      <c r="CV3" s="11" t="str">
        <f t="shared" si="12"/>
        <v>9h 01m</v>
      </c>
      <c r="CW3" s="142"/>
      <c r="CX3" s="38"/>
      <c r="CY3" s="14"/>
      <c r="CZ3" s="11" t="str">
        <f t="shared" si="13"/>
        <v>0h 00m</v>
      </c>
      <c r="DA3" s="56"/>
      <c r="DB3" s="112">
        <v>0.28819444444444442</v>
      </c>
      <c r="DC3" s="12">
        <v>0.67708333333333337</v>
      </c>
      <c r="DD3" s="11" t="str">
        <f t="shared" si="14"/>
        <v>9h 20m</v>
      </c>
      <c r="DE3" s="32"/>
      <c r="DF3" s="30">
        <v>0.30416666666666664</v>
      </c>
      <c r="DG3" s="12">
        <v>0.6791666666666667</v>
      </c>
      <c r="DH3" s="11" t="str">
        <f t="shared" si="15"/>
        <v>9h 00m</v>
      </c>
      <c r="DI3" s="32"/>
      <c r="DJ3" s="30">
        <v>0.29444444444444445</v>
      </c>
      <c r="DK3" s="12">
        <v>0.6791666666666667</v>
      </c>
      <c r="DL3" s="11" t="str">
        <f t="shared" si="16"/>
        <v>9h 14m</v>
      </c>
      <c r="DM3" s="32"/>
      <c r="DN3" s="44"/>
      <c r="DO3" s="44"/>
      <c r="DP3" s="8"/>
    </row>
    <row r="4" spans="1:120" ht="15" thickBot="1">
      <c r="A4" s="53" t="s">
        <v>35</v>
      </c>
      <c r="B4" s="162"/>
      <c r="C4" s="165"/>
      <c r="D4" s="10" t="str">
        <f t="shared" si="0"/>
        <v>0h 00m</v>
      </c>
      <c r="E4" s="31"/>
      <c r="F4" s="128"/>
      <c r="G4" s="10"/>
      <c r="H4" s="10" t="str">
        <f t="shared" si="1"/>
        <v>0h 00m</v>
      </c>
      <c r="I4" s="122"/>
      <c r="J4" s="112"/>
      <c r="K4" s="12"/>
      <c r="L4" s="10" t="str">
        <f t="shared" si="17"/>
        <v>0h 00m</v>
      </c>
      <c r="M4" s="31"/>
      <c r="N4" s="30">
        <v>0.2951388888888889</v>
      </c>
      <c r="O4" s="12">
        <v>0.68402777777777779</v>
      </c>
      <c r="P4" s="10" t="str">
        <f t="shared" si="18"/>
        <v>9h 20m</v>
      </c>
      <c r="Q4" s="190"/>
      <c r="R4" s="202"/>
      <c r="S4" s="203"/>
      <c r="T4" s="10" t="str">
        <f t="shared" si="2"/>
        <v>0h 00m</v>
      </c>
      <c r="U4" s="62"/>
      <c r="V4" s="30">
        <v>0.27430555555555558</v>
      </c>
      <c r="W4" s="12">
        <v>0.6791666666666667</v>
      </c>
      <c r="X4" s="11" t="str">
        <f t="shared" si="19"/>
        <v>9h 43m</v>
      </c>
      <c r="Y4" s="32"/>
      <c r="Z4" s="112">
        <v>0.29166666666666669</v>
      </c>
      <c r="AA4" s="15">
        <v>0.67708333333333337</v>
      </c>
      <c r="AB4" s="11" t="str">
        <f t="shared" si="20"/>
        <v>9h 15m</v>
      </c>
      <c r="AC4" s="32"/>
      <c r="AD4" s="30">
        <v>0.27430555555555558</v>
      </c>
      <c r="AE4" s="12">
        <v>0.69444444444444442</v>
      </c>
      <c r="AF4" s="11" t="str">
        <f t="shared" si="21"/>
        <v>10h 05m</v>
      </c>
      <c r="AG4" s="32"/>
      <c r="AH4" s="36">
        <v>0.2986111111111111</v>
      </c>
      <c r="AI4" s="9">
        <v>0.68055555555555558</v>
      </c>
      <c r="AJ4" s="11" t="str">
        <f t="shared" si="22"/>
        <v>9h 10m</v>
      </c>
      <c r="AK4" s="32"/>
      <c r="AL4" s="40">
        <v>0.27430555555555558</v>
      </c>
      <c r="AM4" s="12">
        <v>0.6875</v>
      </c>
      <c r="AN4" s="11" t="str">
        <f t="shared" si="23"/>
        <v>9h 55m</v>
      </c>
      <c r="AO4" s="32"/>
      <c r="AP4" s="30">
        <v>0.30208333333333331</v>
      </c>
      <c r="AQ4" s="12">
        <v>0.67708333333333337</v>
      </c>
      <c r="AR4" s="11" t="str">
        <f t="shared" si="24"/>
        <v>9h 00m</v>
      </c>
      <c r="AS4" s="32"/>
      <c r="AT4" s="30">
        <v>0.2951388888888889</v>
      </c>
      <c r="AU4" s="12">
        <v>0.67708333333333337</v>
      </c>
      <c r="AV4" s="11" t="str">
        <f t="shared" si="25"/>
        <v>9h 10m</v>
      </c>
      <c r="AW4" s="32"/>
      <c r="AX4" s="41">
        <v>0.4861111111111111</v>
      </c>
      <c r="AY4" s="17">
        <v>0.67847222222222225</v>
      </c>
      <c r="AZ4" s="11" t="str">
        <f t="shared" si="26"/>
        <v>4h 37m</v>
      </c>
      <c r="BA4" s="131" t="s">
        <v>67</v>
      </c>
      <c r="BB4" s="30">
        <v>0.28749999999999998</v>
      </c>
      <c r="BC4" s="12">
        <v>0.68055555555555558</v>
      </c>
      <c r="BD4" s="11" t="str">
        <f t="shared" si="27"/>
        <v>9h 26m</v>
      </c>
      <c r="BE4" s="142"/>
      <c r="BF4" s="38"/>
      <c r="BG4" s="14"/>
      <c r="BH4" s="14" t="str">
        <f t="shared" si="3"/>
        <v>0h 00m</v>
      </c>
      <c r="BI4" s="56"/>
      <c r="BJ4" s="112">
        <v>0.29166666666666669</v>
      </c>
      <c r="BK4" s="12">
        <v>0.67708333333333337</v>
      </c>
      <c r="BL4" s="11" t="str">
        <f t="shared" si="28"/>
        <v>9h 15m</v>
      </c>
      <c r="BM4" s="32"/>
      <c r="BN4" s="30">
        <v>0.29166666666666669</v>
      </c>
      <c r="BO4" s="12">
        <v>0.68055555555555558</v>
      </c>
      <c r="BP4" s="11" t="str">
        <f t="shared" si="4"/>
        <v>9h 20m</v>
      </c>
      <c r="BQ4" s="32"/>
      <c r="BR4" s="30">
        <v>0.29791666666666666</v>
      </c>
      <c r="BS4" s="12">
        <v>0.67777777777777781</v>
      </c>
      <c r="BT4" s="11" t="str">
        <f t="shared" si="5"/>
        <v>9h 07m</v>
      </c>
      <c r="BU4" s="142"/>
      <c r="BV4" s="30">
        <v>0.29444444444444445</v>
      </c>
      <c r="BW4" s="12">
        <v>0.6791666666666667</v>
      </c>
      <c r="BX4" s="11" t="str">
        <f t="shared" si="6"/>
        <v>9h 14m</v>
      </c>
      <c r="BY4" s="142"/>
      <c r="BZ4" s="38"/>
      <c r="CA4" s="14"/>
      <c r="CB4" s="11" t="str">
        <f t="shared" si="7"/>
        <v>0h 00m</v>
      </c>
      <c r="CC4" s="56"/>
      <c r="CD4" s="112">
        <v>0.29791666666666666</v>
      </c>
      <c r="CE4" s="12">
        <v>0.67777777777777781</v>
      </c>
      <c r="CF4" s="11" t="str">
        <f t="shared" si="8"/>
        <v>9h 07m</v>
      </c>
      <c r="CG4" s="32"/>
      <c r="CH4" s="36">
        <v>0.29166666666666669</v>
      </c>
      <c r="CI4" s="12">
        <v>0.67708333333333337</v>
      </c>
      <c r="CJ4" s="11" t="str">
        <f t="shared" si="9"/>
        <v>9h 15m</v>
      </c>
      <c r="CK4" s="32"/>
      <c r="CL4" s="36">
        <v>0.29722222222222222</v>
      </c>
      <c r="CM4" s="12">
        <v>0.67847222222222225</v>
      </c>
      <c r="CN4" s="11" t="str">
        <f t="shared" si="10"/>
        <v>9h 09m</v>
      </c>
      <c r="CO4" s="32"/>
      <c r="CP4" s="30">
        <v>0.29166666666666669</v>
      </c>
      <c r="CQ4" s="12">
        <v>0.67708333333333337</v>
      </c>
      <c r="CR4" s="11" t="str">
        <f t="shared" si="11"/>
        <v>9h 15m</v>
      </c>
      <c r="CS4" s="32"/>
      <c r="CT4" s="30">
        <v>0.30138888888888887</v>
      </c>
      <c r="CU4" s="12">
        <v>0.67708333333333337</v>
      </c>
      <c r="CV4" s="11" t="str">
        <f t="shared" si="12"/>
        <v>9h 01m</v>
      </c>
      <c r="CW4" s="142"/>
      <c r="CX4" s="38"/>
      <c r="CY4" s="14"/>
      <c r="CZ4" s="11" t="str">
        <f t="shared" si="13"/>
        <v>0h 00m</v>
      </c>
      <c r="DA4" s="56"/>
      <c r="DB4" s="112">
        <v>0.28472222222222221</v>
      </c>
      <c r="DC4" s="12">
        <v>0.6875</v>
      </c>
      <c r="DD4" s="11" t="str">
        <f t="shared" si="14"/>
        <v>9h 40m</v>
      </c>
      <c r="DE4" s="32"/>
      <c r="DF4" s="38"/>
      <c r="DG4" s="14"/>
      <c r="DH4" s="11" t="str">
        <f t="shared" si="15"/>
        <v>0h 00m</v>
      </c>
      <c r="DI4" s="32"/>
      <c r="DJ4" s="30">
        <v>0.2951388888888889</v>
      </c>
      <c r="DK4" s="12">
        <v>0.67986111111111114</v>
      </c>
      <c r="DL4" s="11" t="str">
        <f t="shared" si="16"/>
        <v>9h 14m</v>
      </c>
      <c r="DM4" s="32"/>
      <c r="DN4" s="44"/>
      <c r="DO4" s="44"/>
      <c r="DP4" s="8"/>
    </row>
    <row r="5" spans="1:120" ht="15" thickBot="1">
      <c r="A5" s="53" t="s">
        <v>36</v>
      </c>
      <c r="B5" s="162"/>
      <c r="C5" s="165"/>
      <c r="D5" s="10" t="str">
        <f t="shared" si="0"/>
        <v>0h 00m</v>
      </c>
      <c r="E5" s="167"/>
      <c r="F5" s="112"/>
      <c r="G5" s="12"/>
      <c r="H5" s="10" t="str">
        <f t="shared" si="1"/>
        <v>0h 00m</v>
      </c>
      <c r="I5" s="122"/>
      <c r="J5" s="112"/>
      <c r="K5" s="12"/>
      <c r="L5" s="10" t="str">
        <f t="shared" si="17"/>
        <v>0h 00m</v>
      </c>
      <c r="M5" s="31"/>
      <c r="N5" s="30">
        <v>0.29305555555555557</v>
      </c>
      <c r="O5" s="12">
        <v>0.69791666666666663</v>
      </c>
      <c r="P5" s="10" t="str">
        <f t="shared" si="18"/>
        <v>9h 43m</v>
      </c>
      <c r="Q5" s="190"/>
      <c r="R5" s="202"/>
      <c r="S5" s="203"/>
      <c r="T5" s="10" t="str">
        <f t="shared" si="2"/>
        <v>0h 00m</v>
      </c>
      <c r="U5" s="62"/>
      <c r="V5" s="30">
        <v>0.2673611111111111</v>
      </c>
      <c r="W5" s="12">
        <v>0.6791666666666667</v>
      </c>
      <c r="X5" s="11" t="str">
        <f t="shared" si="19"/>
        <v>9h 53m</v>
      </c>
      <c r="Y5" s="32"/>
      <c r="Z5" s="112">
        <v>0.29166666666666669</v>
      </c>
      <c r="AA5" s="12">
        <v>0.67708333333333337</v>
      </c>
      <c r="AB5" s="11" t="str">
        <f t="shared" si="20"/>
        <v>9h 15m</v>
      </c>
      <c r="AC5" s="32"/>
      <c r="AD5" s="30">
        <v>0.28472222222222221</v>
      </c>
      <c r="AE5" s="12">
        <v>0.69097222222222221</v>
      </c>
      <c r="AF5" s="11" t="str">
        <f t="shared" si="21"/>
        <v>9h 45m</v>
      </c>
      <c r="AG5" s="32"/>
      <c r="AH5" s="36">
        <v>0.2986111111111111</v>
      </c>
      <c r="AI5" s="9">
        <v>0.68055555555555558</v>
      </c>
      <c r="AJ5" s="11" t="str">
        <f t="shared" si="22"/>
        <v>9h 10m</v>
      </c>
      <c r="AK5" s="32"/>
      <c r="AL5" s="30">
        <v>0.27777777777777779</v>
      </c>
      <c r="AM5" s="12">
        <v>0.6875</v>
      </c>
      <c r="AN5" s="11" t="str">
        <f t="shared" si="23"/>
        <v>9h 50m</v>
      </c>
      <c r="AO5" s="32"/>
      <c r="AP5" s="30">
        <v>0.30208333333333331</v>
      </c>
      <c r="AQ5" s="12">
        <v>0.67708333333333337</v>
      </c>
      <c r="AR5" s="11" t="str">
        <f t="shared" si="24"/>
        <v>9h 00m</v>
      </c>
      <c r="AS5" s="32"/>
      <c r="AT5" s="42">
        <v>0.29652777777777778</v>
      </c>
      <c r="AU5" s="13">
        <v>0.67708333333333337</v>
      </c>
      <c r="AV5" s="11" t="str">
        <f t="shared" si="25"/>
        <v>9h 08m</v>
      </c>
      <c r="AW5" s="32"/>
      <c r="AX5" s="30">
        <v>0.29791666666666666</v>
      </c>
      <c r="AY5" s="12">
        <v>0.67847222222222225</v>
      </c>
      <c r="AZ5" s="11" t="str">
        <f t="shared" si="26"/>
        <v>9h 08m</v>
      </c>
      <c r="BA5" s="32"/>
      <c r="BB5" s="30">
        <v>0.29722222222222222</v>
      </c>
      <c r="BC5" s="12">
        <v>0.67847222222222225</v>
      </c>
      <c r="BD5" s="11" t="str">
        <f t="shared" si="27"/>
        <v>9h 09m</v>
      </c>
      <c r="BE5" s="142"/>
      <c r="BF5" s="38"/>
      <c r="BG5" s="14"/>
      <c r="BH5" s="14" t="str">
        <f t="shared" si="3"/>
        <v>0h 00m</v>
      </c>
      <c r="BI5" s="56"/>
      <c r="BJ5" s="112">
        <v>0.29166666666666669</v>
      </c>
      <c r="BK5" s="12">
        <v>0.67708333333333337</v>
      </c>
      <c r="BL5" s="11" t="str">
        <f t="shared" si="28"/>
        <v>9h 15m</v>
      </c>
      <c r="BM5" s="32"/>
      <c r="BN5" s="36">
        <v>0.2951388888888889</v>
      </c>
      <c r="BO5" s="9">
        <v>0.67986111111111114</v>
      </c>
      <c r="BP5" s="11" t="str">
        <f t="shared" ref="BP5:BP28" si="29">TEXT(BO5-BN5,"h""h ""mm""m""")</f>
        <v>9h 14m</v>
      </c>
      <c r="BQ5" s="32"/>
      <c r="BR5" s="30">
        <v>0.29791666666666666</v>
      </c>
      <c r="BS5" s="12">
        <v>0.6791666666666667</v>
      </c>
      <c r="BT5" s="11" t="str">
        <f t="shared" si="5"/>
        <v>9h 09m</v>
      </c>
      <c r="BU5" s="142"/>
      <c r="BV5" s="30">
        <v>0.29305555555555557</v>
      </c>
      <c r="BW5" s="12">
        <v>0.6791666666666667</v>
      </c>
      <c r="BX5" s="11" t="str">
        <f t="shared" si="6"/>
        <v>9h 16m</v>
      </c>
      <c r="BY5" s="142"/>
      <c r="BZ5" s="38"/>
      <c r="CA5" s="14"/>
      <c r="CB5" s="11" t="str">
        <f t="shared" si="7"/>
        <v>0h 00m</v>
      </c>
      <c r="CC5" s="56"/>
      <c r="CD5" s="112">
        <v>0.29722222222222222</v>
      </c>
      <c r="CE5" s="12">
        <v>0.67986111111111114</v>
      </c>
      <c r="CF5" s="11" t="str">
        <f t="shared" si="8"/>
        <v>9h 11m</v>
      </c>
      <c r="CG5" s="32"/>
      <c r="CH5" s="30">
        <v>0.29166666666666669</v>
      </c>
      <c r="CI5" s="12">
        <v>0.67847222222222225</v>
      </c>
      <c r="CJ5" s="11" t="str">
        <f t="shared" si="9"/>
        <v>9h 17m</v>
      </c>
      <c r="CK5" s="32"/>
      <c r="CL5" s="30">
        <v>0.2986111111111111</v>
      </c>
      <c r="CM5" s="12">
        <v>0.6791666666666667</v>
      </c>
      <c r="CN5" s="11" t="str">
        <f t="shared" si="10"/>
        <v>9h 08m</v>
      </c>
      <c r="CO5" s="32"/>
      <c r="CP5" s="30">
        <v>0.29166666666666669</v>
      </c>
      <c r="CQ5" s="12">
        <v>0.67847222222222225</v>
      </c>
      <c r="CR5" s="11" t="str">
        <f t="shared" si="11"/>
        <v>9h 17m</v>
      </c>
      <c r="CS5" s="32"/>
      <c r="CT5" s="30">
        <v>0.30138888888888887</v>
      </c>
      <c r="CU5" s="12">
        <v>0.67708333333333337</v>
      </c>
      <c r="CV5" s="11" t="str">
        <f t="shared" si="12"/>
        <v>9h 01m</v>
      </c>
      <c r="CW5" s="142"/>
      <c r="CX5" s="38"/>
      <c r="CY5" s="14"/>
      <c r="CZ5" s="11" t="str">
        <f t="shared" si="13"/>
        <v>0h 00m</v>
      </c>
      <c r="DA5" s="56"/>
      <c r="DB5" s="112">
        <v>0.28472222222222221</v>
      </c>
      <c r="DC5" s="12">
        <v>0.65972222222222221</v>
      </c>
      <c r="DD5" s="11" t="str">
        <f t="shared" si="14"/>
        <v>9h 00m</v>
      </c>
      <c r="DE5" s="32"/>
      <c r="DF5" s="30">
        <v>0.30902777777777779</v>
      </c>
      <c r="DG5" s="12">
        <v>0.68402777777777779</v>
      </c>
      <c r="DH5" s="11" t="str">
        <f t="shared" si="15"/>
        <v>9h 00m</v>
      </c>
      <c r="DI5" s="32"/>
      <c r="DJ5" s="30">
        <v>0.30138888888888887</v>
      </c>
      <c r="DK5" s="12">
        <v>0.68055555555555558</v>
      </c>
      <c r="DL5" s="11" t="str">
        <f t="shared" si="16"/>
        <v>9h 06m</v>
      </c>
      <c r="DM5" s="32"/>
      <c r="DN5" s="44"/>
      <c r="DO5" s="44"/>
      <c r="DP5" s="8"/>
    </row>
    <row r="6" spans="1:120" ht="15" thickBot="1">
      <c r="A6" s="53" t="s">
        <v>37</v>
      </c>
      <c r="B6" s="162"/>
      <c r="C6" s="165"/>
      <c r="D6" s="10" t="str">
        <f t="shared" si="0"/>
        <v>0h 00m</v>
      </c>
      <c r="E6" s="167"/>
      <c r="F6" s="112"/>
      <c r="G6" s="12"/>
      <c r="H6" s="10" t="str">
        <f t="shared" si="1"/>
        <v>0h 00m</v>
      </c>
      <c r="I6" s="122"/>
      <c r="J6" s="112"/>
      <c r="K6" s="12"/>
      <c r="L6" s="10" t="str">
        <f t="shared" si="17"/>
        <v>0h 00m</v>
      </c>
      <c r="M6" s="31"/>
      <c r="N6" s="30">
        <v>0.2951388888888889</v>
      </c>
      <c r="O6" s="12">
        <v>0.67986111111111114</v>
      </c>
      <c r="P6" s="10" t="str">
        <f t="shared" si="18"/>
        <v>9h 14m</v>
      </c>
      <c r="Q6" s="190"/>
      <c r="R6" s="202"/>
      <c r="S6" s="203"/>
      <c r="T6" s="10" t="str">
        <f t="shared" si="2"/>
        <v>0h 00m</v>
      </c>
      <c r="U6" s="62"/>
      <c r="V6" s="30">
        <v>0.27430555555555558</v>
      </c>
      <c r="W6" s="12">
        <v>0.6791666666666667</v>
      </c>
      <c r="X6" s="11" t="str">
        <f t="shared" si="19"/>
        <v>9h 43m</v>
      </c>
      <c r="Y6" s="32"/>
      <c r="Z6" s="196" t="s">
        <v>68</v>
      </c>
      <c r="AA6" s="133" t="s">
        <v>69</v>
      </c>
      <c r="AB6" s="11" t="str">
        <f>$AB$7</f>
        <v>0h 00m</v>
      </c>
      <c r="AC6" s="32" t="s">
        <v>70</v>
      </c>
      <c r="AD6" s="30">
        <v>0.28125</v>
      </c>
      <c r="AE6" s="12">
        <v>0.6875</v>
      </c>
      <c r="AF6" s="11" t="str">
        <f t="shared" si="21"/>
        <v>9h 45m</v>
      </c>
      <c r="AG6" s="32"/>
      <c r="AH6" s="36">
        <v>0.29722222222222222</v>
      </c>
      <c r="AI6" s="9">
        <v>0.67708333333333337</v>
      </c>
      <c r="AJ6" s="11" t="str">
        <f t="shared" si="22"/>
        <v>9h 07m</v>
      </c>
      <c r="AK6" s="32"/>
      <c r="AL6" s="30">
        <v>0.27083333333333331</v>
      </c>
      <c r="AM6" s="12">
        <v>0.70138888888888884</v>
      </c>
      <c r="AN6" s="11" t="str">
        <f t="shared" si="23"/>
        <v>10h 20m</v>
      </c>
      <c r="AO6" s="32"/>
      <c r="AP6" s="30">
        <v>0.30208333333333331</v>
      </c>
      <c r="AQ6" s="12">
        <v>0.67708333333333337</v>
      </c>
      <c r="AR6" s="11" t="str">
        <f t="shared" si="24"/>
        <v>9h 00m</v>
      </c>
      <c r="AS6" s="32"/>
      <c r="AT6" s="30">
        <v>0.29930555555555555</v>
      </c>
      <c r="AU6" s="12">
        <v>0.68402777777777779</v>
      </c>
      <c r="AV6" s="11" t="str">
        <f t="shared" si="25"/>
        <v>9h 14m</v>
      </c>
      <c r="AW6" s="32"/>
      <c r="AX6" s="30">
        <v>0.29652777777777778</v>
      </c>
      <c r="AY6" s="12">
        <v>0.67708333333333337</v>
      </c>
      <c r="AZ6" s="11" t="str">
        <f t="shared" si="26"/>
        <v>9h 08m</v>
      </c>
      <c r="BA6" s="32"/>
      <c r="BB6" s="30">
        <v>0.28125</v>
      </c>
      <c r="BC6" s="12">
        <v>0.67708333333333337</v>
      </c>
      <c r="BD6" s="11" t="str">
        <f t="shared" si="27"/>
        <v>9h 30m</v>
      </c>
      <c r="BE6" s="142"/>
      <c r="BF6" s="38"/>
      <c r="BG6" s="14"/>
      <c r="BH6" s="14" t="str">
        <f t="shared" si="3"/>
        <v>0h 00m</v>
      </c>
      <c r="BI6" s="56"/>
      <c r="BJ6" s="112">
        <v>0.29166666666666669</v>
      </c>
      <c r="BK6" s="12">
        <v>0.68958333333333333</v>
      </c>
      <c r="BL6" s="11" t="str">
        <f t="shared" si="28"/>
        <v>9h 33m</v>
      </c>
      <c r="BM6" s="32"/>
      <c r="BN6" s="30">
        <v>0.2902777777777778</v>
      </c>
      <c r="BO6" s="12">
        <v>0.67986111111111114</v>
      </c>
      <c r="BP6" s="11" t="str">
        <f t="shared" si="29"/>
        <v>9h 21m</v>
      </c>
      <c r="BQ6" s="32"/>
      <c r="BR6" s="36">
        <v>0.30138888888888887</v>
      </c>
      <c r="BS6" s="9">
        <v>0.67847222222222225</v>
      </c>
      <c r="BT6" s="11" t="str">
        <f t="shared" ref="BT6:BT28" si="30">TEXT(BS6-BR6,"h""h ""mm""m""")</f>
        <v>9h 03m</v>
      </c>
      <c r="BU6" s="142"/>
      <c r="BV6" s="36">
        <v>0.29166666666666669</v>
      </c>
      <c r="BW6" s="9">
        <v>0.6791666666666667</v>
      </c>
      <c r="BX6" s="11" t="str">
        <f t="shared" ref="BX6:BX28" si="31">TEXT(BW6-BV6,"h""h ""mm""m""")</f>
        <v>9h 18m</v>
      </c>
      <c r="BY6" s="142"/>
      <c r="BZ6" s="38"/>
      <c r="CA6" s="14"/>
      <c r="CB6" s="11" t="str">
        <f t="shared" si="7"/>
        <v>0h 00m</v>
      </c>
      <c r="CC6" s="56"/>
      <c r="CD6" s="147">
        <v>0.30277777777777776</v>
      </c>
      <c r="CE6" s="9">
        <v>0.68125000000000002</v>
      </c>
      <c r="CF6" s="11" t="str">
        <f t="shared" ref="CF6:CF28" si="32">TEXT(CE6-CD6,"h""h ""mm""m""")</f>
        <v>9h 05m</v>
      </c>
      <c r="CG6" s="32"/>
      <c r="CH6" s="36">
        <v>0.2902777777777778</v>
      </c>
      <c r="CI6" s="9">
        <v>0.68958333333333333</v>
      </c>
      <c r="CJ6" s="11" t="str">
        <f t="shared" ref="CJ6:CJ32" si="33">TEXT(CI6-CH6,"h""h ""mm""m""")</f>
        <v>9h 35m</v>
      </c>
      <c r="CK6" s="32"/>
      <c r="CL6" s="36">
        <v>0.29791666666666666</v>
      </c>
      <c r="CM6" s="9">
        <v>0.68333333333333335</v>
      </c>
      <c r="CN6" s="11" t="str">
        <f t="shared" ref="CN6:CN28" si="34">TEXT(CM6-CL6,"h""h ""mm""m""")</f>
        <v>9h 15m</v>
      </c>
      <c r="CO6" s="32"/>
      <c r="CP6" s="36">
        <v>0.29166666666666669</v>
      </c>
      <c r="CQ6" s="9"/>
      <c r="CR6" s="11" t="e">
        <f t="shared" ref="CR6:CR28" si="35">TEXT(CQ6-CP6,"h""h ""mm""m""")</f>
        <v>#VALUE!</v>
      </c>
      <c r="CS6" s="32"/>
      <c r="CT6" s="36">
        <v>0.30069444444444443</v>
      </c>
      <c r="CU6" s="9">
        <v>0.67847222222222225</v>
      </c>
      <c r="CV6" s="11" t="str">
        <f t="shared" ref="CV6:CV28" si="36">TEXT(CU6-CT6,"h""h ""mm""m""")</f>
        <v>9h 04m</v>
      </c>
      <c r="CW6" s="142"/>
      <c r="CX6" s="38"/>
      <c r="CY6" s="14"/>
      <c r="CZ6" s="11" t="str">
        <f t="shared" si="13"/>
        <v>0h 00m</v>
      </c>
      <c r="DA6" s="56"/>
      <c r="DB6" s="147">
        <v>0.28819444444444442</v>
      </c>
      <c r="DC6" s="9">
        <v>0.67708333333333337</v>
      </c>
      <c r="DD6" s="11" t="str">
        <f t="shared" ref="DD6:DD28" si="37">TEXT(DC6-DB6,"h""h ""mm""m""")</f>
        <v>9h 20m</v>
      </c>
      <c r="DE6" s="32"/>
      <c r="DF6" s="35"/>
      <c r="DG6" s="11"/>
      <c r="DH6" s="11" t="str">
        <f t="shared" ref="DH6:DH28" si="38">TEXT(DG6-DF6,"h""h ""mm""m""")</f>
        <v>0h 00m</v>
      </c>
      <c r="DI6" s="32"/>
      <c r="DJ6" s="36">
        <v>0.2986111111111111</v>
      </c>
      <c r="DK6" s="9">
        <v>0.68888888888888888</v>
      </c>
      <c r="DL6" s="11" t="str">
        <f t="shared" ref="DL6:DL28" si="39">TEXT(DK6-DJ6,"h""h ""mm""m""")</f>
        <v>9h 22m</v>
      </c>
      <c r="DM6" s="32"/>
      <c r="DN6" s="44"/>
      <c r="DO6" s="44"/>
      <c r="DP6" s="8"/>
    </row>
    <row r="7" spans="1:120" s="74" customFormat="1" ht="15" thickBot="1">
      <c r="A7" s="53" t="s">
        <v>38</v>
      </c>
      <c r="B7" s="75"/>
      <c r="C7" s="113"/>
      <c r="D7" s="66" t="str">
        <f t="shared" si="0"/>
        <v>0h 00m</v>
      </c>
      <c r="E7" s="154"/>
      <c r="F7" s="113"/>
      <c r="G7" s="76"/>
      <c r="H7" s="66" t="str">
        <f t="shared" si="1"/>
        <v>0h 00m</v>
      </c>
      <c r="I7" s="123"/>
      <c r="J7" s="113"/>
      <c r="K7" s="76"/>
      <c r="L7" s="66" t="str">
        <f t="shared" si="17"/>
        <v>0h 00m</v>
      </c>
      <c r="M7" s="67"/>
      <c r="N7" s="75"/>
      <c r="O7" s="76"/>
      <c r="P7" s="66" t="str">
        <f t="shared" si="18"/>
        <v>0h 00m</v>
      </c>
      <c r="Q7" s="191"/>
      <c r="R7" s="173"/>
      <c r="S7" s="204"/>
      <c r="T7" s="66" t="str">
        <f t="shared" si="2"/>
        <v>0h 00m</v>
      </c>
      <c r="U7" s="198"/>
      <c r="V7" s="75"/>
      <c r="W7" s="76"/>
      <c r="X7" s="68" t="str">
        <f t="shared" si="19"/>
        <v>0h 00m</v>
      </c>
      <c r="Y7" s="69"/>
      <c r="Z7" s="113"/>
      <c r="AA7" s="76"/>
      <c r="AB7" s="68" t="str">
        <f t="shared" si="20"/>
        <v>0h 00m</v>
      </c>
      <c r="AC7" s="69"/>
      <c r="AD7" s="75"/>
      <c r="AE7" s="76"/>
      <c r="AF7" s="68" t="str">
        <f t="shared" si="21"/>
        <v>0h 00m</v>
      </c>
      <c r="AG7" s="69"/>
      <c r="AH7" s="70"/>
      <c r="AI7" s="68"/>
      <c r="AJ7" s="68" t="str">
        <f t="shared" si="22"/>
        <v>0h 00m</v>
      </c>
      <c r="AK7" s="69"/>
      <c r="AL7" s="75"/>
      <c r="AM7" s="76"/>
      <c r="AN7" s="68" t="str">
        <f t="shared" si="23"/>
        <v>0h 00m</v>
      </c>
      <c r="AO7" s="69"/>
      <c r="AP7" s="75"/>
      <c r="AQ7" s="76"/>
      <c r="AR7" s="68" t="str">
        <f t="shared" si="24"/>
        <v>0h 00m</v>
      </c>
      <c r="AS7" s="69"/>
      <c r="AT7" s="75"/>
      <c r="AU7" s="76"/>
      <c r="AV7" s="68" t="str">
        <f t="shared" si="25"/>
        <v>0h 00m</v>
      </c>
      <c r="AW7" s="69"/>
      <c r="AX7" s="75"/>
      <c r="AY7" s="76"/>
      <c r="AZ7" s="68" t="str">
        <f t="shared" si="26"/>
        <v>0h 00m</v>
      </c>
      <c r="BA7" s="69"/>
      <c r="BB7" s="75"/>
      <c r="BC7" s="76"/>
      <c r="BD7" s="68" t="str">
        <f t="shared" si="27"/>
        <v>0h 00m</v>
      </c>
      <c r="BE7" s="143"/>
      <c r="BF7" s="71"/>
      <c r="BG7" s="72"/>
      <c r="BH7" s="72" t="str">
        <f t="shared" si="3"/>
        <v>0h 00m</v>
      </c>
      <c r="BI7" s="124"/>
      <c r="BJ7" s="113"/>
      <c r="BK7" s="76"/>
      <c r="BL7" s="68" t="str">
        <f t="shared" si="28"/>
        <v>0h 00m</v>
      </c>
      <c r="BM7" s="69"/>
      <c r="BN7" s="75"/>
      <c r="BO7" s="76"/>
      <c r="BP7" s="68" t="str">
        <f t="shared" si="29"/>
        <v>0h 00m</v>
      </c>
      <c r="BQ7" s="69"/>
      <c r="BR7" s="75"/>
      <c r="BS7" s="76"/>
      <c r="BT7" s="68" t="str">
        <f t="shared" si="30"/>
        <v>0h 00m</v>
      </c>
      <c r="BU7" s="143"/>
      <c r="BV7" s="75"/>
      <c r="BW7" s="76"/>
      <c r="BX7" s="68" t="str">
        <f t="shared" si="31"/>
        <v>0h 00m</v>
      </c>
      <c r="BY7" s="143"/>
      <c r="BZ7" s="71"/>
      <c r="CA7" s="72"/>
      <c r="CB7" s="68" t="str">
        <f t="shared" si="7"/>
        <v>0h 00m</v>
      </c>
      <c r="CC7" s="124"/>
      <c r="CD7" s="113"/>
      <c r="CE7" s="76"/>
      <c r="CF7" s="68" t="str">
        <f t="shared" si="32"/>
        <v>0h 00m</v>
      </c>
      <c r="CG7" s="69"/>
      <c r="CH7" s="75"/>
      <c r="CI7" s="76"/>
      <c r="CJ7" s="68" t="str">
        <f t="shared" si="33"/>
        <v>0h 00m</v>
      </c>
      <c r="CK7" s="69"/>
      <c r="CL7" s="75"/>
      <c r="CM7" s="76"/>
      <c r="CN7" s="68" t="str">
        <f t="shared" si="34"/>
        <v>0h 00m</v>
      </c>
      <c r="CO7" s="69"/>
      <c r="CP7" s="75"/>
      <c r="CQ7" s="76"/>
      <c r="CR7" s="68" t="str">
        <f t="shared" si="35"/>
        <v>0h 00m</v>
      </c>
      <c r="CS7" s="69"/>
      <c r="CT7" s="75"/>
      <c r="CU7" s="76"/>
      <c r="CV7" s="68" t="str">
        <f t="shared" si="36"/>
        <v>0h 00m</v>
      </c>
      <c r="CW7" s="143"/>
      <c r="CX7" s="71"/>
      <c r="CY7" s="72"/>
      <c r="CZ7" s="68" t="str">
        <f t="shared" si="13"/>
        <v>0h 00m</v>
      </c>
      <c r="DA7" s="124"/>
      <c r="DB7" s="113"/>
      <c r="DC7" s="76"/>
      <c r="DD7" s="68" t="str">
        <f t="shared" si="37"/>
        <v>0h 00m</v>
      </c>
      <c r="DE7" s="69"/>
      <c r="DF7" s="75"/>
      <c r="DG7" s="76"/>
      <c r="DH7" s="68" t="str">
        <f t="shared" si="38"/>
        <v>0h 00m</v>
      </c>
      <c r="DI7" s="69"/>
      <c r="DJ7" s="75"/>
      <c r="DK7" s="76"/>
      <c r="DL7" s="68" t="str">
        <f t="shared" si="39"/>
        <v>0h 00m</v>
      </c>
      <c r="DM7" s="69"/>
      <c r="DN7" s="77"/>
      <c r="DO7" s="77"/>
    </row>
    <row r="8" spans="1:120" s="74" customFormat="1" ht="15" thickBot="1">
      <c r="A8" s="53" t="s">
        <v>39</v>
      </c>
      <c r="B8" s="75"/>
      <c r="C8" s="113"/>
      <c r="D8" s="66" t="str">
        <f t="shared" si="0"/>
        <v>0h 00m</v>
      </c>
      <c r="E8" s="154"/>
      <c r="F8" s="113"/>
      <c r="G8" s="76"/>
      <c r="H8" s="66" t="str">
        <f t="shared" si="1"/>
        <v>0h 00m</v>
      </c>
      <c r="I8" s="123"/>
      <c r="J8" s="113"/>
      <c r="K8" s="76"/>
      <c r="L8" s="66" t="str">
        <f t="shared" si="17"/>
        <v>0h 00m</v>
      </c>
      <c r="M8" s="67"/>
      <c r="N8" s="75"/>
      <c r="O8" s="76"/>
      <c r="P8" s="66" t="str">
        <f t="shared" si="18"/>
        <v>0h 00m</v>
      </c>
      <c r="Q8" s="191"/>
      <c r="R8" s="173"/>
      <c r="S8" s="204"/>
      <c r="T8" s="66" t="str">
        <f t="shared" si="2"/>
        <v>0h 00m</v>
      </c>
      <c r="U8" s="198"/>
      <c r="V8" s="75"/>
      <c r="W8" s="76"/>
      <c r="X8" s="68" t="str">
        <f t="shared" si="19"/>
        <v>0h 00m</v>
      </c>
      <c r="Y8" s="69"/>
      <c r="Z8" s="113"/>
      <c r="AA8" s="76"/>
      <c r="AB8" s="68" t="str">
        <f t="shared" si="20"/>
        <v>0h 00m</v>
      </c>
      <c r="AC8" s="69"/>
      <c r="AD8" s="75"/>
      <c r="AE8" s="76"/>
      <c r="AF8" s="68" t="str">
        <f t="shared" si="21"/>
        <v>0h 00m</v>
      </c>
      <c r="AG8" s="69"/>
      <c r="AH8" s="70"/>
      <c r="AI8" s="68"/>
      <c r="AJ8" s="68" t="str">
        <f t="shared" si="22"/>
        <v>0h 00m</v>
      </c>
      <c r="AK8" s="69"/>
      <c r="AL8" s="75"/>
      <c r="AM8" s="76"/>
      <c r="AN8" s="68" t="str">
        <f t="shared" si="23"/>
        <v>0h 00m</v>
      </c>
      <c r="AO8" s="69"/>
      <c r="AP8" s="75"/>
      <c r="AQ8" s="76"/>
      <c r="AR8" s="68" t="str">
        <f t="shared" si="24"/>
        <v>0h 00m</v>
      </c>
      <c r="AS8" s="69"/>
      <c r="AT8" s="75"/>
      <c r="AU8" s="76"/>
      <c r="AV8" s="68" t="str">
        <f t="shared" si="25"/>
        <v>0h 00m</v>
      </c>
      <c r="AW8" s="69"/>
      <c r="AX8" s="75"/>
      <c r="AY8" s="76"/>
      <c r="AZ8" s="68" t="str">
        <f t="shared" si="26"/>
        <v>0h 00m</v>
      </c>
      <c r="BA8" s="69"/>
      <c r="BB8" s="75"/>
      <c r="BC8" s="76"/>
      <c r="BD8" s="68" t="str">
        <f t="shared" si="27"/>
        <v>0h 00m</v>
      </c>
      <c r="BE8" s="143"/>
      <c r="BF8" s="71"/>
      <c r="BG8" s="72"/>
      <c r="BH8" s="72" t="str">
        <f t="shared" si="3"/>
        <v>0h 00m</v>
      </c>
      <c r="BI8" s="124"/>
      <c r="BJ8" s="113"/>
      <c r="BK8" s="76"/>
      <c r="BL8" s="68" t="str">
        <f t="shared" si="28"/>
        <v>0h 00m</v>
      </c>
      <c r="BM8" s="69"/>
      <c r="BN8" s="75"/>
      <c r="BO8" s="76"/>
      <c r="BP8" s="68" t="str">
        <f t="shared" si="29"/>
        <v>0h 00m</v>
      </c>
      <c r="BQ8" s="69"/>
      <c r="BR8" s="75"/>
      <c r="BS8" s="76"/>
      <c r="BT8" s="68" t="str">
        <f t="shared" si="30"/>
        <v>0h 00m</v>
      </c>
      <c r="BU8" s="143"/>
      <c r="BV8" s="75"/>
      <c r="BW8" s="76"/>
      <c r="BX8" s="68" t="str">
        <f t="shared" si="31"/>
        <v>0h 00m</v>
      </c>
      <c r="BY8" s="143"/>
      <c r="BZ8" s="71"/>
      <c r="CA8" s="72"/>
      <c r="CB8" s="68" t="str">
        <f t="shared" si="7"/>
        <v>0h 00m</v>
      </c>
      <c r="CC8" s="124"/>
      <c r="CD8" s="113"/>
      <c r="CE8" s="76"/>
      <c r="CF8" s="68" t="str">
        <f t="shared" si="32"/>
        <v>0h 00m</v>
      </c>
      <c r="CG8" s="69"/>
      <c r="CH8" s="75"/>
      <c r="CI8" s="76"/>
      <c r="CJ8" s="68" t="str">
        <f t="shared" si="33"/>
        <v>0h 00m</v>
      </c>
      <c r="CK8" s="69"/>
      <c r="CL8" s="75"/>
      <c r="CM8" s="76"/>
      <c r="CN8" s="68" t="str">
        <f t="shared" si="34"/>
        <v>0h 00m</v>
      </c>
      <c r="CO8" s="69"/>
      <c r="CP8" s="75"/>
      <c r="CQ8" s="76"/>
      <c r="CR8" s="68" t="str">
        <f t="shared" si="35"/>
        <v>0h 00m</v>
      </c>
      <c r="CS8" s="69"/>
      <c r="CT8" s="75"/>
      <c r="CU8" s="76"/>
      <c r="CV8" s="68" t="str">
        <f t="shared" si="36"/>
        <v>0h 00m</v>
      </c>
      <c r="CW8" s="143"/>
      <c r="CX8" s="71"/>
      <c r="CY8" s="72"/>
      <c r="CZ8" s="68" t="str">
        <f t="shared" si="13"/>
        <v>0h 00m</v>
      </c>
      <c r="DA8" s="124"/>
      <c r="DB8" s="113"/>
      <c r="DC8" s="76"/>
      <c r="DD8" s="68" t="str">
        <f t="shared" si="37"/>
        <v>0h 00m</v>
      </c>
      <c r="DE8" s="69"/>
      <c r="DF8" s="75"/>
      <c r="DG8" s="76"/>
      <c r="DH8" s="68" t="str">
        <f t="shared" si="38"/>
        <v>0h 00m</v>
      </c>
      <c r="DI8" s="69"/>
      <c r="DJ8" s="75"/>
      <c r="DK8" s="76"/>
      <c r="DL8" s="68" t="str">
        <f t="shared" si="39"/>
        <v>0h 00m</v>
      </c>
      <c r="DM8" s="69"/>
      <c r="DN8" s="77"/>
      <c r="DO8" s="77"/>
    </row>
    <row r="9" spans="1:120" ht="15" thickBot="1">
      <c r="A9" s="53" t="s">
        <v>40</v>
      </c>
      <c r="B9" s="171" t="s">
        <v>85</v>
      </c>
      <c r="C9" s="172" t="s">
        <v>86</v>
      </c>
      <c r="D9" s="10" t="str">
        <f t="shared" si="0"/>
        <v>9h 15m</v>
      </c>
      <c r="E9" s="167"/>
      <c r="F9" s="112"/>
      <c r="G9" s="12"/>
      <c r="H9" s="10" t="str">
        <f t="shared" si="1"/>
        <v>0h 00m</v>
      </c>
      <c r="I9" s="122"/>
      <c r="J9" s="112"/>
      <c r="K9" s="12"/>
      <c r="L9" s="10" t="str">
        <f t="shared" si="17"/>
        <v>0h 00m</v>
      </c>
      <c r="M9" s="31"/>
      <c r="N9" s="30">
        <v>0.29444444444444445</v>
      </c>
      <c r="O9" s="12">
        <v>0.68333333333333335</v>
      </c>
      <c r="P9" s="10" t="str">
        <f t="shared" si="18"/>
        <v>9h 20m</v>
      </c>
      <c r="Q9" s="190"/>
      <c r="R9" s="202"/>
      <c r="S9" s="203"/>
      <c r="T9" s="10" t="str">
        <f t="shared" si="2"/>
        <v>0h 00m</v>
      </c>
      <c r="U9" s="62"/>
      <c r="V9" s="30">
        <v>0.26805555555555555</v>
      </c>
      <c r="W9" s="12">
        <v>0.67986111111111114</v>
      </c>
      <c r="X9" s="11" t="str">
        <f t="shared" si="19"/>
        <v>9h 53m</v>
      </c>
      <c r="Y9" s="32"/>
      <c r="Z9" s="196" t="s">
        <v>68</v>
      </c>
      <c r="AA9" s="133" t="s">
        <v>69</v>
      </c>
      <c r="AB9" s="11" t="str">
        <f>$AB$7</f>
        <v>0h 00m</v>
      </c>
      <c r="AC9" s="32" t="s">
        <v>70</v>
      </c>
      <c r="AD9" s="30">
        <v>0.27430555555555558</v>
      </c>
      <c r="AE9" s="12">
        <v>0.68402777777777779</v>
      </c>
      <c r="AF9" s="11" t="str">
        <f t="shared" si="21"/>
        <v>9h 50m</v>
      </c>
      <c r="AG9" s="32"/>
      <c r="AH9" s="36">
        <v>0.2986111111111111</v>
      </c>
      <c r="AI9" s="9">
        <v>0.68194444444444446</v>
      </c>
      <c r="AJ9" s="11" t="str">
        <f t="shared" si="22"/>
        <v>9h 12m</v>
      </c>
      <c r="AK9" s="32"/>
      <c r="AL9" s="30">
        <v>0.27430555555555558</v>
      </c>
      <c r="AM9" s="12">
        <v>0.6875</v>
      </c>
      <c r="AN9" s="11" t="str">
        <f t="shared" si="23"/>
        <v>9h 55m</v>
      </c>
      <c r="AO9" s="32"/>
      <c r="AP9" s="179" t="s">
        <v>89</v>
      </c>
      <c r="AQ9" s="180" t="s">
        <v>69</v>
      </c>
      <c r="AR9" s="11" t="str">
        <f>$BT$21</f>
        <v>0h 00m</v>
      </c>
      <c r="AS9" s="32" t="s">
        <v>88</v>
      </c>
      <c r="AT9" s="30">
        <v>0.29652777777777778</v>
      </c>
      <c r="AU9" s="12">
        <v>0.67708333333333337</v>
      </c>
      <c r="AV9" s="11" t="str">
        <f t="shared" si="25"/>
        <v>9h 08m</v>
      </c>
      <c r="AW9" s="32"/>
      <c r="AX9" s="30">
        <v>0.29583333333333334</v>
      </c>
      <c r="AY9" s="12">
        <v>0.67847222222222225</v>
      </c>
      <c r="AZ9" s="11" t="str">
        <f t="shared" si="26"/>
        <v>9h 11m</v>
      </c>
      <c r="BA9" s="32"/>
      <c r="BB9" s="30">
        <v>0.28472222222222221</v>
      </c>
      <c r="BC9" s="12">
        <v>0.6791666666666667</v>
      </c>
      <c r="BD9" s="11" t="str">
        <f t="shared" si="27"/>
        <v>9h 28m</v>
      </c>
      <c r="BE9" s="142"/>
      <c r="BF9" s="38"/>
      <c r="BG9" s="14"/>
      <c r="BH9" s="14" t="str">
        <f t="shared" si="3"/>
        <v>0h 00m</v>
      </c>
      <c r="BI9" s="56"/>
      <c r="BJ9" s="112">
        <v>0.29166666666666669</v>
      </c>
      <c r="BK9" s="12">
        <v>0.67708333333333337</v>
      </c>
      <c r="BL9" s="11" t="str">
        <f t="shared" si="28"/>
        <v>9h 15m</v>
      </c>
      <c r="BM9" s="32"/>
      <c r="BN9" s="30">
        <v>0.28819444444444442</v>
      </c>
      <c r="BO9" s="12">
        <v>0.67777777777777781</v>
      </c>
      <c r="BP9" s="11" t="str">
        <f t="shared" si="29"/>
        <v>9h 21m</v>
      </c>
      <c r="BQ9" s="32"/>
      <c r="BR9" s="30">
        <v>0.29791666666666666</v>
      </c>
      <c r="BS9" s="12">
        <v>0.67777777777777781</v>
      </c>
      <c r="BT9" s="11" t="str">
        <f t="shared" si="30"/>
        <v>9h 07m</v>
      </c>
      <c r="BU9" s="142"/>
      <c r="BV9" s="30">
        <v>0.28749999999999998</v>
      </c>
      <c r="BW9" s="12">
        <v>0.68194444444444446</v>
      </c>
      <c r="BX9" s="11" t="str">
        <f t="shared" si="31"/>
        <v>9h 28m</v>
      </c>
      <c r="BY9" s="142"/>
      <c r="BZ9" s="38"/>
      <c r="CA9" s="14"/>
      <c r="CB9" s="11" t="str">
        <f t="shared" si="7"/>
        <v>0h 00m</v>
      </c>
      <c r="CC9" s="56"/>
      <c r="CD9" s="112">
        <v>0.29722222222222222</v>
      </c>
      <c r="CE9" s="12">
        <v>0.68611111111111112</v>
      </c>
      <c r="CF9" s="11" t="str">
        <f t="shared" si="32"/>
        <v>9h 20m</v>
      </c>
      <c r="CG9" s="32"/>
      <c r="CH9" s="30">
        <v>0.28819444444444442</v>
      </c>
      <c r="CI9" s="12">
        <v>0.67708333333333337</v>
      </c>
      <c r="CJ9" s="11" t="str">
        <f t="shared" si="33"/>
        <v>9h 20m</v>
      </c>
      <c r="CK9" s="32"/>
      <c r="CL9" s="30">
        <v>0.29722222222222222</v>
      </c>
      <c r="CM9" s="12">
        <v>0.67847222222222225</v>
      </c>
      <c r="CN9" s="11" t="str">
        <f t="shared" si="34"/>
        <v>9h 09m</v>
      </c>
      <c r="CO9" s="32"/>
      <c r="CP9" s="30">
        <v>0.28611111111111109</v>
      </c>
      <c r="CQ9" s="12">
        <v>0.67708333333333337</v>
      </c>
      <c r="CR9" s="11" t="str">
        <f t="shared" si="35"/>
        <v>9h 23m</v>
      </c>
      <c r="CS9" s="32"/>
      <c r="CT9" s="30">
        <v>0.30277777777777776</v>
      </c>
      <c r="CU9" s="12">
        <v>0.67708333333333337</v>
      </c>
      <c r="CV9" s="11" t="str">
        <f t="shared" si="36"/>
        <v>8h 59m</v>
      </c>
      <c r="CW9" s="142"/>
      <c r="CX9" s="38"/>
      <c r="CY9" s="14"/>
      <c r="CZ9" s="11" t="str">
        <f t="shared" si="13"/>
        <v>0h 00m</v>
      </c>
      <c r="DA9" s="56"/>
      <c r="DB9" s="112">
        <v>0.28472222222222221</v>
      </c>
      <c r="DC9" s="12">
        <v>0.69444444444444442</v>
      </c>
      <c r="DD9" s="11" t="str">
        <f t="shared" si="37"/>
        <v>9h 50m</v>
      </c>
      <c r="DE9" s="32"/>
      <c r="DF9" s="38"/>
      <c r="DG9" s="14"/>
      <c r="DH9" s="11" t="str">
        <f t="shared" si="38"/>
        <v>0h 00m</v>
      </c>
      <c r="DI9" s="32"/>
      <c r="DJ9" s="30">
        <v>0.29166666666666669</v>
      </c>
      <c r="DK9" s="12">
        <v>0.68611111111111112</v>
      </c>
      <c r="DL9" s="11" t="str">
        <f t="shared" si="39"/>
        <v>9h 28m</v>
      </c>
      <c r="DM9" s="32"/>
      <c r="DN9" s="44"/>
      <c r="DO9" s="44"/>
      <c r="DP9" s="8"/>
    </row>
    <row r="10" spans="1:120" ht="15" thickBot="1">
      <c r="A10" s="53" t="s">
        <v>41</v>
      </c>
      <c r="B10" s="171" t="s">
        <v>85</v>
      </c>
      <c r="C10" s="172" t="s">
        <v>90</v>
      </c>
      <c r="D10" s="10" t="str">
        <f t="shared" si="0"/>
        <v>9h 04m</v>
      </c>
      <c r="E10" s="167"/>
      <c r="F10" s="112"/>
      <c r="G10" s="12"/>
      <c r="H10" s="10" t="str">
        <f t="shared" si="1"/>
        <v>0h 00m</v>
      </c>
      <c r="I10" s="122"/>
      <c r="J10" s="112"/>
      <c r="K10" s="12"/>
      <c r="L10" s="10" t="str">
        <f t="shared" si="17"/>
        <v>0h 00m</v>
      </c>
      <c r="M10" s="31"/>
      <c r="N10" s="30">
        <v>0.29236111111111113</v>
      </c>
      <c r="O10" s="12">
        <v>0.68263888888888891</v>
      </c>
      <c r="P10" s="10" t="str">
        <f t="shared" si="18"/>
        <v>9h 22m</v>
      </c>
      <c r="Q10" s="190"/>
      <c r="R10" s="202"/>
      <c r="S10" s="203"/>
      <c r="T10" s="10" t="str">
        <f t="shared" si="2"/>
        <v>0h 00m</v>
      </c>
      <c r="U10" s="62"/>
      <c r="V10" s="30">
        <v>0.2638888888888889</v>
      </c>
      <c r="W10" s="12">
        <v>0.67847222222222225</v>
      </c>
      <c r="X10" s="11" t="str">
        <f t="shared" si="19"/>
        <v>9h 57m</v>
      </c>
      <c r="Y10" s="32"/>
      <c r="Z10" s="196" t="s">
        <v>68</v>
      </c>
      <c r="AA10" s="133" t="s">
        <v>69</v>
      </c>
      <c r="AB10" s="11" t="str">
        <f>$AB$7</f>
        <v>0h 00m</v>
      </c>
      <c r="AC10" s="32" t="s">
        <v>70</v>
      </c>
      <c r="AD10" s="30">
        <v>0.2951388888888889</v>
      </c>
      <c r="AE10" s="12">
        <v>0.72916666666666663</v>
      </c>
      <c r="AF10" s="11" t="str">
        <f t="shared" si="21"/>
        <v>10h 25m</v>
      </c>
      <c r="AG10" s="32"/>
      <c r="AH10" s="36">
        <v>0.29652777777777778</v>
      </c>
      <c r="AI10" s="9">
        <v>0.67708333333333337</v>
      </c>
      <c r="AJ10" s="11" t="str">
        <f t="shared" si="22"/>
        <v>9h 08m</v>
      </c>
      <c r="AK10" s="32"/>
      <c r="AL10" s="30">
        <v>0.27777777777777779</v>
      </c>
      <c r="AM10" s="12">
        <v>0.6875</v>
      </c>
      <c r="AN10" s="11" t="str">
        <f t="shared" si="23"/>
        <v>9h 50m</v>
      </c>
      <c r="AO10" s="32"/>
      <c r="AP10" s="179" t="s">
        <v>89</v>
      </c>
      <c r="AQ10" s="180" t="s">
        <v>69</v>
      </c>
      <c r="AR10" s="11" t="str">
        <f>$BT$21</f>
        <v>0h 00m</v>
      </c>
      <c r="AS10" s="32" t="s">
        <v>88</v>
      </c>
      <c r="AT10" s="30">
        <v>0.2986111111111111</v>
      </c>
      <c r="AU10" s="12">
        <v>0.67986111111111114</v>
      </c>
      <c r="AV10" s="11" t="str">
        <f t="shared" si="25"/>
        <v>9h 09m</v>
      </c>
      <c r="AW10" s="32"/>
      <c r="AX10" s="30">
        <v>0.29166666666666669</v>
      </c>
      <c r="AY10" s="12">
        <v>0.67986111111111114</v>
      </c>
      <c r="AZ10" s="11" t="str">
        <f t="shared" si="26"/>
        <v>9h 19m</v>
      </c>
      <c r="BA10" s="32"/>
      <c r="BB10" s="30">
        <v>0.28333333333333333</v>
      </c>
      <c r="BC10" s="12">
        <v>0.68055555555555558</v>
      </c>
      <c r="BD10" s="11" t="str">
        <f t="shared" si="27"/>
        <v>9h 32m</v>
      </c>
      <c r="BE10" s="142"/>
      <c r="BF10" s="38"/>
      <c r="BG10" s="14"/>
      <c r="BH10" s="14" t="str">
        <f t="shared" si="3"/>
        <v>0h 00m</v>
      </c>
      <c r="BI10" s="56"/>
      <c r="BJ10" s="112">
        <v>0.29166666666666669</v>
      </c>
      <c r="BK10" s="12">
        <v>0.68055555555555558</v>
      </c>
      <c r="BL10" s="11" t="str">
        <f t="shared" si="28"/>
        <v>9h 20m</v>
      </c>
      <c r="BM10" s="32"/>
      <c r="BN10" s="30">
        <v>0.29583333333333334</v>
      </c>
      <c r="BO10" s="12">
        <v>0.68055555555555558</v>
      </c>
      <c r="BP10" s="11" t="str">
        <f t="shared" si="29"/>
        <v>9h 14m</v>
      </c>
      <c r="BQ10" s="32"/>
      <c r="BR10" s="30">
        <v>0.2986111111111111</v>
      </c>
      <c r="BS10" s="12">
        <v>0.68055555555555558</v>
      </c>
      <c r="BT10" s="11" t="str">
        <f t="shared" si="30"/>
        <v>9h 10m</v>
      </c>
      <c r="BU10" s="142"/>
      <c r="BV10" s="30">
        <v>0.28749999999999998</v>
      </c>
      <c r="BW10" s="12">
        <v>0.6875</v>
      </c>
      <c r="BX10" s="11" t="str">
        <f t="shared" si="31"/>
        <v>9h 36m</v>
      </c>
      <c r="BY10" s="142"/>
      <c r="BZ10" s="38"/>
      <c r="CA10" s="14"/>
      <c r="CB10" s="11" t="str">
        <f t="shared" si="7"/>
        <v>0h 00m</v>
      </c>
      <c r="CC10" s="56"/>
      <c r="CD10" s="112">
        <v>0.29791666666666666</v>
      </c>
      <c r="CE10" s="12">
        <v>0.67986111111111114</v>
      </c>
      <c r="CF10" s="11" t="str">
        <f t="shared" si="32"/>
        <v>9h 10m</v>
      </c>
      <c r="CG10" s="32"/>
      <c r="CH10" s="30">
        <v>0.29166666666666669</v>
      </c>
      <c r="CI10" s="12">
        <v>0.68888888888888888</v>
      </c>
      <c r="CJ10" s="11" t="str">
        <f t="shared" si="33"/>
        <v>9h 32m</v>
      </c>
      <c r="CK10" s="32"/>
      <c r="CL10" s="30">
        <v>0.2986111111111111</v>
      </c>
      <c r="CM10" s="12">
        <v>0.68055555555555558</v>
      </c>
      <c r="CN10" s="11" t="str">
        <f t="shared" si="34"/>
        <v>9h 10m</v>
      </c>
      <c r="CO10" s="32"/>
      <c r="CP10" s="30">
        <v>0.28749999999999998</v>
      </c>
      <c r="CQ10" s="12">
        <v>0.6875</v>
      </c>
      <c r="CR10" s="11" t="str">
        <f t="shared" si="35"/>
        <v>9h 36m</v>
      </c>
      <c r="CS10" s="32"/>
      <c r="CT10" s="30">
        <v>0.30138888888888887</v>
      </c>
      <c r="CU10" s="12">
        <v>0.67708333333333337</v>
      </c>
      <c r="CV10" s="11" t="str">
        <f t="shared" si="36"/>
        <v>9h 01m</v>
      </c>
      <c r="CW10" s="142"/>
      <c r="CX10" s="38"/>
      <c r="CY10" s="14"/>
      <c r="CZ10" s="11" t="str">
        <f t="shared" si="13"/>
        <v>0h 00m</v>
      </c>
      <c r="DA10" s="56"/>
      <c r="DB10" s="112">
        <v>0.29166666666666669</v>
      </c>
      <c r="DC10" s="12">
        <v>0.68055555555555558</v>
      </c>
      <c r="DD10" s="11" t="str">
        <f t="shared" si="37"/>
        <v>9h 20m</v>
      </c>
      <c r="DE10" s="32"/>
      <c r="DF10" s="30">
        <v>0.30555555555555558</v>
      </c>
      <c r="DG10" s="12">
        <v>0.68611111111111112</v>
      </c>
      <c r="DH10" s="11" t="str">
        <f t="shared" si="38"/>
        <v>9h 08m</v>
      </c>
      <c r="DI10" s="32"/>
      <c r="DJ10" s="30">
        <v>0.30138888888888887</v>
      </c>
      <c r="DK10" s="12">
        <v>0.68055555555555558</v>
      </c>
      <c r="DL10" s="11" t="str">
        <f t="shared" si="39"/>
        <v>9h 06m</v>
      </c>
      <c r="DM10" s="32"/>
      <c r="DN10" s="44"/>
      <c r="DO10" s="44"/>
      <c r="DP10" s="8"/>
    </row>
    <row r="11" spans="1:120" ht="15" thickBot="1">
      <c r="A11" s="53" t="s">
        <v>42</v>
      </c>
      <c r="B11" s="171" t="s">
        <v>91</v>
      </c>
      <c r="C11" s="172" t="s">
        <v>93</v>
      </c>
      <c r="D11" s="10" t="str">
        <f t="shared" si="0"/>
        <v>8h 51m</v>
      </c>
      <c r="E11" s="167"/>
      <c r="F11" s="112"/>
      <c r="G11" s="12"/>
      <c r="H11" s="10" t="str">
        <f t="shared" si="1"/>
        <v>0h 00m</v>
      </c>
      <c r="I11" s="122"/>
      <c r="J11" s="112"/>
      <c r="K11" s="12"/>
      <c r="L11" s="10" t="str">
        <f t="shared" si="17"/>
        <v>0h 00m</v>
      </c>
      <c r="M11" s="31"/>
      <c r="N11" s="30">
        <v>0.2951388888888889</v>
      </c>
      <c r="O11" s="12">
        <v>0.68333333333333335</v>
      </c>
      <c r="P11" s="10" t="str">
        <f t="shared" si="18"/>
        <v>9h 19m</v>
      </c>
      <c r="Q11" s="190"/>
      <c r="R11" s="202"/>
      <c r="S11" s="203"/>
      <c r="T11" s="10" t="str">
        <f t="shared" si="2"/>
        <v>0h 00m</v>
      </c>
      <c r="U11" s="62"/>
      <c r="V11" s="30">
        <v>0.26874999999999999</v>
      </c>
      <c r="W11" s="12">
        <v>0.68194444444444446</v>
      </c>
      <c r="X11" s="11" t="str">
        <f t="shared" si="19"/>
        <v>9h 55m</v>
      </c>
      <c r="Y11" s="32"/>
      <c r="Z11" s="196" t="s">
        <v>68</v>
      </c>
      <c r="AA11" s="133" t="s">
        <v>69</v>
      </c>
      <c r="AB11" s="11" t="str">
        <f>$AB$7</f>
        <v>0h 00m</v>
      </c>
      <c r="AC11" s="32" t="s">
        <v>70</v>
      </c>
      <c r="AD11" s="30">
        <v>0.27083333333333331</v>
      </c>
      <c r="AE11" s="12">
        <v>0.68055555555555558</v>
      </c>
      <c r="AF11" s="11" t="str">
        <f t="shared" si="21"/>
        <v>9h 50m</v>
      </c>
      <c r="AG11" s="32"/>
      <c r="AH11" s="36">
        <v>0.2986111111111111</v>
      </c>
      <c r="AI11" s="9">
        <v>0.66666666666666663</v>
      </c>
      <c r="AJ11" s="11" t="str">
        <f t="shared" si="22"/>
        <v>8h 50m</v>
      </c>
      <c r="AK11" s="32"/>
      <c r="AL11" s="30">
        <v>0.27430555555555558</v>
      </c>
      <c r="AM11" s="12">
        <v>0.69444444444444442</v>
      </c>
      <c r="AN11" s="11" t="str">
        <f t="shared" si="23"/>
        <v>10h 05m</v>
      </c>
      <c r="AO11" s="32"/>
      <c r="AP11" s="30">
        <v>0.29166666666666669</v>
      </c>
      <c r="AQ11" s="12">
        <v>0.68125000000000002</v>
      </c>
      <c r="AR11" s="11" t="str">
        <f t="shared" si="24"/>
        <v>9h 21m</v>
      </c>
      <c r="AS11" s="32"/>
      <c r="AT11" s="30">
        <v>0.2986111111111111</v>
      </c>
      <c r="AU11" s="12">
        <v>0.67708333333333337</v>
      </c>
      <c r="AV11" s="11" t="str">
        <f t="shared" si="25"/>
        <v>9h 05m</v>
      </c>
      <c r="AW11" s="32"/>
      <c r="AX11" s="30">
        <v>0.29791666666666666</v>
      </c>
      <c r="AY11" s="12">
        <v>0.68055555555555558</v>
      </c>
      <c r="AZ11" s="11" t="str">
        <f t="shared" si="26"/>
        <v>9h 11m</v>
      </c>
      <c r="BA11" s="32"/>
      <c r="BB11" s="30">
        <v>0.27777777777777779</v>
      </c>
      <c r="BC11" s="12">
        <v>0.67777777777777781</v>
      </c>
      <c r="BD11" s="11" t="str">
        <f t="shared" si="27"/>
        <v>9h 36m</v>
      </c>
      <c r="BE11" s="142"/>
      <c r="BF11" s="38"/>
      <c r="BG11" s="14"/>
      <c r="BH11" s="14" t="str">
        <f t="shared" si="3"/>
        <v>0h 00m</v>
      </c>
      <c r="BI11" s="56"/>
      <c r="BJ11" s="112">
        <v>0.29166666666666669</v>
      </c>
      <c r="BK11" s="12">
        <v>0.67777777777777781</v>
      </c>
      <c r="BL11" s="11" t="str">
        <f t="shared" si="28"/>
        <v>9h 16m</v>
      </c>
      <c r="BM11" s="32"/>
      <c r="BN11" s="30">
        <v>0.30138888888888887</v>
      </c>
      <c r="BO11" s="12">
        <v>0.67847222222222225</v>
      </c>
      <c r="BP11" s="11" t="str">
        <f t="shared" si="29"/>
        <v>9h 03m</v>
      </c>
      <c r="BQ11" s="32"/>
      <c r="BR11" s="30">
        <v>0.2986111111111111</v>
      </c>
      <c r="BS11" s="12">
        <v>0.67777777777777781</v>
      </c>
      <c r="BT11" s="11" t="str">
        <f t="shared" si="30"/>
        <v>9h 06m</v>
      </c>
      <c r="BU11" s="142"/>
      <c r="BV11" s="30">
        <v>0.29375000000000001</v>
      </c>
      <c r="BW11" s="12">
        <v>0.6791666666666667</v>
      </c>
      <c r="BX11" s="11" t="str">
        <f t="shared" si="31"/>
        <v>9h 15m</v>
      </c>
      <c r="BY11" s="142"/>
      <c r="BZ11" s="38"/>
      <c r="CA11" s="14"/>
      <c r="CB11" s="11" t="str">
        <f t="shared" si="7"/>
        <v>0h 00m</v>
      </c>
      <c r="CC11" s="56"/>
      <c r="CD11" s="112">
        <v>0.29791666666666666</v>
      </c>
      <c r="CE11" s="12">
        <v>0.6791666666666667</v>
      </c>
      <c r="CF11" s="11" t="str">
        <f t="shared" si="32"/>
        <v>9h 09m</v>
      </c>
      <c r="CG11" s="32"/>
      <c r="CH11" s="30">
        <v>0.29166666666666669</v>
      </c>
      <c r="CI11" s="12">
        <v>0.67847222222222225</v>
      </c>
      <c r="CJ11" s="11" t="str">
        <f t="shared" si="33"/>
        <v>9h 17m</v>
      </c>
      <c r="CK11" s="32"/>
      <c r="CL11" s="30">
        <v>0.29722222222222222</v>
      </c>
      <c r="CM11" s="12">
        <v>0.6791666666666667</v>
      </c>
      <c r="CN11" s="11" t="str">
        <f t="shared" si="34"/>
        <v>9h 10m</v>
      </c>
      <c r="CO11" s="32"/>
      <c r="CP11" s="30">
        <v>0.28958333333333336</v>
      </c>
      <c r="CQ11" s="12">
        <v>0.67777777777777781</v>
      </c>
      <c r="CR11" s="11" t="str">
        <f t="shared" si="35"/>
        <v>9h 19m</v>
      </c>
      <c r="CS11" s="32"/>
      <c r="CT11" s="30">
        <v>0.30138888888888887</v>
      </c>
      <c r="CU11" s="12">
        <v>0.67708333333333337</v>
      </c>
      <c r="CV11" s="11" t="str">
        <f t="shared" si="36"/>
        <v>9h 01m</v>
      </c>
      <c r="CW11" s="142"/>
      <c r="CX11" s="30">
        <v>0.30208333333333331</v>
      </c>
      <c r="CY11" s="12">
        <v>0.67708333333333337</v>
      </c>
      <c r="CZ11" s="11" t="str">
        <f t="shared" si="13"/>
        <v>9h 00m</v>
      </c>
      <c r="DA11" s="56"/>
      <c r="DB11" s="112">
        <v>0.28125</v>
      </c>
      <c r="DC11" s="12">
        <v>0.68055555555555558</v>
      </c>
      <c r="DD11" s="11" t="str">
        <f t="shared" si="37"/>
        <v>9h 35m</v>
      </c>
      <c r="DE11" s="32"/>
      <c r="DF11" s="38"/>
      <c r="DG11" s="14"/>
      <c r="DH11" s="11" t="str">
        <f t="shared" si="38"/>
        <v>0h 00m</v>
      </c>
      <c r="DI11" s="32"/>
      <c r="DJ11" s="30">
        <v>0.30069444444444443</v>
      </c>
      <c r="DK11" s="12">
        <v>0.67847222222222225</v>
      </c>
      <c r="DL11" s="11" t="str">
        <f t="shared" si="39"/>
        <v>9h 04m</v>
      </c>
      <c r="DM11" s="32"/>
      <c r="DN11" s="44"/>
      <c r="DO11" s="44"/>
      <c r="DP11" s="8"/>
    </row>
    <row r="12" spans="1:120" ht="15" thickBot="1">
      <c r="A12" s="53" t="s">
        <v>43</v>
      </c>
      <c r="B12" s="171" t="s">
        <v>94</v>
      </c>
      <c r="C12" s="172" t="s">
        <v>102</v>
      </c>
      <c r="D12" s="10" t="str">
        <f t="shared" si="0"/>
        <v>9h 14m</v>
      </c>
      <c r="E12" s="167"/>
      <c r="F12" s="112"/>
      <c r="G12" s="12"/>
      <c r="H12" s="10" t="str">
        <f t="shared" si="1"/>
        <v>0h 00m</v>
      </c>
      <c r="I12" s="122"/>
      <c r="J12" s="112"/>
      <c r="K12" s="12"/>
      <c r="L12" s="10" t="str">
        <f t="shared" si="17"/>
        <v>0h 00m</v>
      </c>
      <c r="M12" s="31"/>
      <c r="N12" s="30">
        <v>0.29444444444444445</v>
      </c>
      <c r="O12" s="12">
        <v>0.68194444444444446</v>
      </c>
      <c r="P12" s="10" t="str">
        <f t="shared" si="18"/>
        <v>9h 18m</v>
      </c>
      <c r="Q12" s="190"/>
      <c r="R12" s="202" t="s">
        <v>96</v>
      </c>
      <c r="S12" s="203" t="s">
        <v>97</v>
      </c>
      <c r="T12" s="10" t="str">
        <f t="shared" si="2"/>
        <v>9h 13m</v>
      </c>
      <c r="U12" s="62"/>
      <c r="V12" s="132" t="s">
        <v>68</v>
      </c>
      <c r="W12" s="133" t="s">
        <v>69</v>
      </c>
      <c r="X12" s="11" t="str">
        <f>$X$14</f>
        <v>0h 00m</v>
      </c>
      <c r="Y12" s="32" t="s">
        <v>74</v>
      </c>
      <c r="Z12" s="196" t="s">
        <v>68</v>
      </c>
      <c r="AA12" s="133" t="s">
        <v>69</v>
      </c>
      <c r="AB12" s="11" t="str">
        <f>$AB$7</f>
        <v>0h 00m</v>
      </c>
      <c r="AC12" s="32" t="s">
        <v>70</v>
      </c>
      <c r="AD12" s="30">
        <v>0.28125</v>
      </c>
      <c r="AE12" s="12">
        <v>0.68402777777777779</v>
      </c>
      <c r="AF12" s="11" t="str">
        <f t="shared" si="21"/>
        <v>9h 40m</v>
      </c>
      <c r="AG12" s="32"/>
      <c r="AH12" s="36">
        <v>0.29722222222222222</v>
      </c>
      <c r="AI12" s="9">
        <v>0.67847222222222225</v>
      </c>
      <c r="AJ12" s="11" t="str">
        <f t="shared" si="22"/>
        <v>9h 09m</v>
      </c>
      <c r="AK12" s="32"/>
      <c r="AL12" s="41">
        <v>0.27361111111111114</v>
      </c>
      <c r="AM12" s="16">
        <v>0.68402777777777779</v>
      </c>
      <c r="AN12" s="11" t="str">
        <f t="shared" si="23"/>
        <v>9h 51m</v>
      </c>
      <c r="AO12" s="32"/>
      <c r="AP12" s="30">
        <v>0.2951388888888889</v>
      </c>
      <c r="AQ12" s="12">
        <v>0.68402777777777779</v>
      </c>
      <c r="AR12" s="11" t="str">
        <f t="shared" si="24"/>
        <v>9h 20m</v>
      </c>
      <c r="AS12" s="32"/>
      <c r="AT12" s="30">
        <v>0.2986111111111111</v>
      </c>
      <c r="AU12" s="12">
        <v>0.67708333333333337</v>
      </c>
      <c r="AV12" s="11" t="str">
        <f t="shared" si="25"/>
        <v>9h 05m</v>
      </c>
      <c r="AW12" s="32"/>
      <c r="AX12" s="30">
        <v>0.2951388888888889</v>
      </c>
      <c r="AY12" s="12">
        <v>0.6791666666666667</v>
      </c>
      <c r="AZ12" s="11" t="str">
        <f t="shared" si="26"/>
        <v>9h 13m</v>
      </c>
      <c r="BA12" s="32"/>
      <c r="BB12" s="30">
        <v>0.28472222222222221</v>
      </c>
      <c r="BC12" s="12">
        <v>0.68055555555555558</v>
      </c>
      <c r="BD12" s="11" t="str">
        <f t="shared" si="27"/>
        <v>9h 30m</v>
      </c>
      <c r="BE12" s="142"/>
      <c r="BF12" s="38"/>
      <c r="BG12" s="14"/>
      <c r="BH12" s="14" t="str">
        <f t="shared" si="3"/>
        <v>0h 00m</v>
      </c>
      <c r="BI12" s="56"/>
      <c r="BJ12" s="112">
        <v>0.29166666666666669</v>
      </c>
      <c r="BK12" s="12">
        <v>0.67777777777777781</v>
      </c>
      <c r="BL12" s="11" t="str">
        <f t="shared" si="28"/>
        <v>9h 16m</v>
      </c>
      <c r="BM12" s="32"/>
      <c r="BN12" s="30">
        <v>0.29652777777777778</v>
      </c>
      <c r="BO12" s="12">
        <v>0.67847222222222225</v>
      </c>
      <c r="BP12" s="11" t="str">
        <f t="shared" si="29"/>
        <v>9h 10m</v>
      </c>
      <c r="BQ12" s="32"/>
      <c r="BR12" s="30">
        <v>0.29305555555555557</v>
      </c>
      <c r="BS12" s="12">
        <v>0.67847222222222225</v>
      </c>
      <c r="BT12" s="11" t="str">
        <f t="shared" si="30"/>
        <v>9h 15m</v>
      </c>
      <c r="BU12" s="142"/>
      <c r="BV12" s="30">
        <v>0.29166666666666669</v>
      </c>
      <c r="BW12" s="12">
        <v>0.67986111111111114</v>
      </c>
      <c r="BX12" s="11" t="str">
        <f t="shared" si="31"/>
        <v>9h 19m</v>
      </c>
      <c r="BY12" s="142"/>
      <c r="BZ12" s="30">
        <v>0.29166666666666669</v>
      </c>
      <c r="CA12" s="12">
        <v>0.67708333333333337</v>
      </c>
      <c r="CB12" s="11" t="str">
        <f t="shared" si="7"/>
        <v>9h 15m</v>
      </c>
      <c r="CC12" s="56"/>
      <c r="CD12" s="112">
        <v>0.30138888888888887</v>
      </c>
      <c r="CE12" s="12">
        <v>0.6791666666666667</v>
      </c>
      <c r="CF12" s="11" t="str">
        <f t="shared" si="32"/>
        <v>9h 04m</v>
      </c>
      <c r="CG12" s="32"/>
      <c r="CH12" s="30">
        <v>0.29166666666666669</v>
      </c>
      <c r="CI12" s="12">
        <v>0.67708333333333337</v>
      </c>
      <c r="CJ12" s="11" t="str">
        <f t="shared" si="33"/>
        <v>9h 15m</v>
      </c>
      <c r="CK12" s="32"/>
      <c r="CL12" s="30">
        <v>0.29722222222222222</v>
      </c>
      <c r="CM12" s="12">
        <v>0.68055555555555558</v>
      </c>
      <c r="CN12" s="11" t="str">
        <f t="shared" si="34"/>
        <v>9h 12m</v>
      </c>
      <c r="CO12" s="32"/>
      <c r="CP12" s="30">
        <v>0.28749999999999998</v>
      </c>
      <c r="CQ12" s="12">
        <v>0.67986111111111114</v>
      </c>
      <c r="CR12" s="11" t="str">
        <f t="shared" si="35"/>
        <v>9h 25m</v>
      </c>
      <c r="CS12" s="32"/>
      <c r="CT12" s="30">
        <v>0.30277777777777776</v>
      </c>
      <c r="CU12" s="12">
        <v>0.67708333333333337</v>
      </c>
      <c r="CV12" s="11" t="str">
        <f t="shared" si="36"/>
        <v>8h 59m</v>
      </c>
      <c r="CW12" s="142"/>
      <c r="CX12" s="30">
        <v>0.30208333333333331</v>
      </c>
      <c r="CY12" s="12">
        <v>0.67708333333333337</v>
      </c>
      <c r="CZ12" s="11" t="str">
        <f t="shared" ref="CZ12:CZ32" si="40">TEXT(CY12-CX12,"h""h ""mm""m""")</f>
        <v>9h 00m</v>
      </c>
      <c r="DA12" s="32"/>
      <c r="DB12" s="147">
        <v>0.2951388888888889</v>
      </c>
      <c r="DC12" s="9">
        <v>0.6791666666666667</v>
      </c>
      <c r="DD12" s="11" t="str">
        <f t="shared" si="37"/>
        <v>9h 13m</v>
      </c>
      <c r="DE12" s="32"/>
      <c r="DF12" s="30">
        <v>0.30486111111111114</v>
      </c>
      <c r="DG12" s="12">
        <v>0.68402777777777779</v>
      </c>
      <c r="DH12" s="11" t="str">
        <f t="shared" si="38"/>
        <v>9h 06m</v>
      </c>
      <c r="DI12" s="32"/>
      <c r="DJ12" s="30">
        <v>0.30208333333333331</v>
      </c>
      <c r="DK12" s="12">
        <v>0.67847222222222225</v>
      </c>
      <c r="DL12" s="11" t="str">
        <f t="shared" si="39"/>
        <v>9h 02m</v>
      </c>
      <c r="DM12" s="32"/>
      <c r="DN12" s="44"/>
      <c r="DO12" s="46"/>
      <c r="DP12" s="8"/>
    </row>
    <row r="13" spans="1:120" ht="15" thickBot="1">
      <c r="A13" s="53" t="s">
        <v>44</v>
      </c>
      <c r="B13" s="171"/>
      <c r="C13" s="172"/>
      <c r="D13" s="10" t="str">
        <f t="shared" si="0"/>
        <v>0h 00m</v>
      </c>
      <c r="E13" s="167"/>
      <c r="F13" s="112"/>
      <c r="G13" s="12"/>
      <c r="H13" s="10" t="str">
        <f t="shared" si="1"/>
        <v>0h 00m</v>
      </c>
      <c r="I13" s="122"/>
      <c r="J13" s="112"/>
      <c r="K13" s="12"/>
      <c r="L13" s="10" t="str">
        <f t="shared" si="17"/>
        <v>0h 00m</v>
      </c>
      <c r="M13" s="31"/>
      <c r="N13" s="30">
        <v>0.2986111111111111</v>
      </c>
      <c r="O13" s="12">
        <v>0.68333333333333335</v>
      </c>
      <c r="P13" s="10" t="str">
        <f t="shared" si="18"/>
        <v>9h 14m</v>
      </c>
      <c r="Q13" s="190"/>
      <c r="R13" s="205" t="s">
        <v>98</v>
      </c>
      <c r="S13" s="206" t="s">
        <v>100</v>
      </c>
      <c r="T13" s="10" t="str">
        <f t="shared" ref="T13:T32" si="41">TEXT(S13-R13,"h""h ""mm""m""")</f>
        <v>9h 28m</v>
      </c>
      <c r="U13" s="62"/>
      <c r="V13" s="132" t="s">
        <v>68</v>
      </c>
      <c r="W13" s="133" t="s">
        <v>69</v>
      </c>
      <c r="X13" s="11" t="str">
        <f>$X$14</f>
        <v>0h 00m</v>
      </c>
      <c r="Y13" s="32" t="s">
        <v>74</v>
      </c>
      <c r="Z13" s="196" t="s">
        <v>68</v>
      </c>
      <c r="AA13" s="133" t="s">
        <v>69</v>
      </c>
      <c r="AB13" s="11" t="str">
        <f>$AB$7</f>
        <v>0h 00m</v>
      </c>
      <c r="AC13" s="32" t="s">
        <v>70</v>
      </c>
      <c r="AD13" s="30">
        <v>0.28472222222222221</v>
      </c>
      <c r="AE13" s="12">
        <v>0.69791666666666663</v>
      </c>
      <c r="AF13" s="11" t="str">
        <f t="shared" si="21"/>
        <v>9h 55m</v>
      </c>
      <c r="AG13" s="32"/>
      <c r="AH13" s="36">
        <v>0.29652777777777778</v>
      </c>
      <c r="AI13" s="9">
        <v>0.68055555555555558</v>
      </c>
      <c r="AJ13" s="11" t="str">
        <f t="shared" si="22"/>
        <v>9h 13m</v>
      </c>
      <c r="AK13" s="32"/>
      <c r="AL13" s="30">
        <v>0.27777777777777779</v>
      </c>
      <c r="AM13" s="12">
        <v>0.6875</v>
      </c>
      <c r="AN13" s="11" t="str">
        <f t="shared" si="23"/>
        <v>9h 50m</v>
      </c>
      <c r="AO13" s="32"/>
      <c r="AP13" s="30">
        <v>0.28402777777777777</v>
      </c>
      <c r="AQ13" s="12">
        <v>0.68402777777777779</v>
      </c>
      <c r="AR13" s="11" t="str">
        <f t="shared" si="24"/>
        <v>9h 36m</v>
      </c>
      <c r="AS13" s="32"/>
      <c r="AT13" s="30">
        <v>0.29930555555555555</v>
      </c>
      <c r="AU13" s="12">
        <v>0.68055555555555558</v>
      </c>
      <c r="AV13" s="11" t="str">
        <f t="shared" si="25"/>
        <v>9h 09m</v>
      </c>
      <c r="AW13" s="32"/>
      <c r="AX13" s="30">
        <v>0.29375000000000001</v>
      </c>
      <c r="AY13" s="12">
        <v>0.68819444444444444</v>
      </c>
      <c r="AZ13" s="11" t="str">
        <f t="shared" si="26"/>
        <v>9h 28m</v>
      </c>
      <c r="BA13" s="32"/>
      <c r="BB13" s="30">
        <v>0.28541666666666665</v>
      </c>
      <c r="BC13" s="12">
        <v>0.67708333333333337</v>
      </c>
      <c r="BD13" s="11" t="str">
        <f t="shared" si="27"/>
        <v>9h 24m</v>
      </c>
      <c r="BE13" s="142"/>
      <c r="BF13" s="38"/>
      <c r="BG13" s="14"/>
      <c r="BH13" s="14" t="str">
        <f t="shared" si="3"/>
        <v>0h 00m</v>
      </c>
      <c r="BI13" s="56"/>
      <c r="BJ13" s="112">
        <v>0.29166666666666669</v>
      </c>
      <c r="BK13" s="12">
        <v>0.68055555555555558</v>
      </c>
      <c r="BL13" s="11" t="str">
        <f t="shared" si="28"/>
        <v>9h 20m</v>
      </c>
      <c r="BM13" s="32"/>
      <c r="BN13" s="30">
        <v>0.29652777777777778</v>
      </c>
      <c r="BO13" s="12">
        <v>0.68055555555555558</v>
      </c>
      <c r="BP13" s="11" t="str">
        <f t="shared" si="29"/>
        <v>9h 13m</v>
      </c>
      <c r="BQ13" s="32"/>
      <c r="BR13" s="30">
        <v>0.29930555555555555</v>
      </c>
      <c r="BS13" s="12">
        <v>0.67847222222222225</v>
      </c>
      <c r="BT13" s="11" t="str">
        <f t="shared" si="30"/>
        <v>9h 06m</v>
      </c>
      <c r="BU13" s="142"/>
      <c r="BV13" s="30">
        <v>0.29444444444444445</v>
      </c>
      <c r="BW13" s="12">
        <v>0.6791666666666667</v>
      </c>
      <c r="BX13" s="11" t="str">
        <f t="shared" si="31"/>
        <v>9h 14m</v>
      </c>
      <c r="BY13" s="142"/>
      <c r="BZ13" s="36">
        <v>0.29166666666666669</v>
      </c>
      <c r="CA13" s="9">
        <v>0.68055555555555558</v>
      </c>
      <c r="CB13" s="11" t="str">
        <f t="shared" ref="CB13:CB32" si="42">TEXT(CA13-BZ13,"h""h ""mm""m""")</f>
        <v>9h 20m</v>
      </c>
      <c r="CC13" s="56"/>
      <c r="CD13" s="112">
        <v>0.29930555555555555</v>
      </c>
      <c r="CE13" s="12">
        <v>0.68263888888888891</v>
      </c>
      <c r="CF13" s="11" t="str">
        <f t="shared" si="32"/>
        <v>9h 12m</v>
      </c>
      <c r="CG13" s="32"/>
      <c r="CH13" s="30">
        <v>0.29166666666666669</v>
      </c>
      <c r="CI13" s="12">
        <v>0.67708333333333337</v>
      </c>
      <c r="CJ13" s="11" t="str">
        <f t="shared" si="33"/>
        <v>9h 15m</v>
      </c>
      <c r="CK13" s="32"/>
      <c r="CL13" s="30">
        <v>0.29791666666666666</v>
      </c>
      <c r="CM13" s="12">
        <v>0.68194444444444446</v>
      </c>
      <c r="CN13" s="11" t="str">
        <f t="shared" si="34"/>
        <v>9h 13m</v>
      </c>
      <c r="CO13" s="32"/>
      <c r="CP13" s="30">
        <v>0.28888888888888886</v>
      </c>
      <c r="CQ13" s="12">
        <v>0.67708333333333337</v>
      </c>
      <c r="CR13" s="11" t="str">
        <f t="shared" si="35"/>
        <v>9h 19m</v>
      </c>
      <c r="CS13" s="32"/>
      <c r="CT13" s="30">
        <v>0.30069444444444443</v>
      </c>
      <c r="CU13" s="12">
        <v>0.67708333333333337</v>
      </c>
      <c r="CV13" s="11" t="str">
        <f t="shared" si="36"/>
        <v>9h 02m</v>
      </c>
      <c r="CW13" s="142"/>
      <c r="CX13" s="30">
        <v>0.30208333333333331</v>
      </c>
      <c r="CY13" s="12">
        <v>0.67708333333333337</v>
      </c>
      <c r="CZ13" s="11" t="str">
        <f t="shared" si="40"/>
        <v>9h 00m</v>
      </c>
      <c r="DA13" s="56"/>
      <c r="DB13" s="112">
        <v>0.28819444444444442</v>
      </c>
      <c r="DC13" s="12">
        <v>0.69444444444444442</v>
      </c>
      <c r="DD13" s="11" t="str">
        <f t="shared" si="37"/>
        <v>9h 45m</v>
      </c>
      <c r="DE13" s="32"/>
      <c r="DF13" s="38"/>
      <c r="DG13" s="14"/>
      <c r="DH13" s="11" t="str">
        <f t="shared" si="38"/>
        <v>0h 00m</v>
      </c>
      <c r="DI13" s="32"/>
      <c r="DJ13" s="30">
        <v>0.30069444444444443</v>
      </c>
      <c r="DK13" s="12">
        <v>0.67847222222222225</v>
      </c>
      <c r="DL13" s="11" t="str">
        <f t="shared" si="39"/>
        <v>9h 04m</v>
      </c>
      <c r="DM13" s="32"/>
      <c r="DN13" s="44"/>
      <c r="DO13" s="44"/>
      <c r="DP13" s="8"/>
    </row>
    <row r="14" spans="1:120" s="74" customFormat="1" ht="15" thickBot="1">
      <c r="A14" s="53" t="s">
        <v>45</v>
      </c>
      <c r="B14" s="71"/>
      <c r="C14" s="114"/>
      <c r="D14" s="66" t="str">
        <f t="shared" si="0"/>
        <v>0h 00m</v>
      </c>
      <c r="E14" s="155"/>
      <c r="F14" s="114"/>
      <c r="G14" s="72"/>
      <c r="H14" s="66" t="str">
        <f t="shared" si="1"/>
        <v>0h 00m</v>
      </c>
      <c r="I14" s="124"/>
      <c r="J14" s="114"/>
      <c r="K14" s="72"/>
      <c r="L14" s="66" t="str">
        <f t="shared" si="17"/>
        <v>0h 00m</v>
      </c>
      <c r="M14" s="67"/>
      <c r="N14" s="71"/>
      <c r="O14" s="72"/>
      <c r="P14" s="66" t="str">
        <f t="shared" si="18"/>
        <v>0h 00m</v>
      </c>
      <c r="Q14" s="191"/>
      <c r="R14" s="173"/>
      <c r="S14" s="204"/>
      <c r="T14" s="66" t="str">
        <f t="shared" si="41"/>
        <v>0h 00m</v>
      </c>
      <c r="U14" s="198"/>
      <c r="V14" s="71"/>
      <c r="W14" s="72"/>
      <c r="X14" s="68" t="str">
        <f t="shared" si="19"/>
        <v>0h 00m</v>
      </c>
      <c r="Y14" s="69"/>
      <c r="Z14" s="114"/>
      <c r="AA14" s="72"/>
      <c r="AB14" s="68" t="str">
        <f t="shared" si="20"/>
        <v>0h 00m</v>
      </c>
      <c r="AC14" s="69"/>
      <c r="AD14" s="71"/>
      <c r="AE14" s="72"/>
      <c r="AF14" s="68" t="str">
        <f t="shared" si="21"/>
        <v>0h 00m</v>
      </c>
      <c r="AG14" s="69"/>
      <c r="AH14" s="70"/>
      <c r="AI14" s="68"/>
      <c r="AJ14" s="68" t="str">
        <f t="shared" si="22"/>
        <v>0h 00m</v>
      </c>
      <c r="AK14" s="69"/>
      <c r="AL14" s="71"/>
      <c r="AM14" s="72"/>
      <c r="AN14" s="68" t="str">
        <f t="shared" si="23"/>
        <v>0h 00m</v>
      </c>
      <c r="AO14" s="69"/>
      <c r="AP14" s="71"/>
      <c r="AQ14" s="72"/>
      <c r="AR14" s="68" t="str">
        <f t="shared" si="24"/>
        <v>0h 00m</v>
      </c>
      <c r="AS14" s="69"/>
      <c r="AT14" s="71"/>
      <c r="AU14" s="72"/>
      <c r="AV14" s="68" t="str">
        <f t="shared" si="25"/>
        <v>0h 00m</v>
      </c>
      <c r="AW14" s="69"/>
      <c r="AX14" s="71"/>
      <c r="AY14" s="72"/>
      <c r="AZ14" s="68" t="str">
        <f t="shared" si="26"/>
        <v>0h 00m</v>
      </c>
      <c r="BA14" s="69"/>
      <c r="BB14" s="71"/>
      <c r="BC14" s="72"/>
      <c r="BD14" s="68" t="str">
        <f t="shared" si="27"/>
        <v>0h 00m</v>
      </c>
      <c r="BE14" s="143"/>
      <c r="BF14" s="71"/>
      <c r="BG14" s="72"/>
      <c r="BH14" s="72" t="str">
        <f t="shared" si="3"/>
        <v>0h 00m</v>
      </c>
      <c r="BI14" s="124"/>
      <c r="BJ14" s="114"/>
      <c r="BK14" s="72"/>
      <c r="BL14" s="68" t="str">
        <f t="shared" si="28"/>
        <v>0h 00m</v>
      </c>
      <c r="BM14" s="69"/>
      <c r="BN14" s="71"/>
      <c r="BO14" s="72"/>
      <c r="BP14" s="68" t="str">
        <f t="shared" si="29"/>
        <v>0h 00m</v>
      </c>
      <c r="BQ14" s="69"/>
      <c r="BR14" s="71"/>
      <c r="BS14" s="72"/>
      <c r="BT14" s="68" t="str">
        <f t="shared" si="30"/>
        <v>0h 00m</v>
      </c>
      <c r="BU14" s="143"/>
      <c r="BV14" s="71"/>
      <c r="BW14" s="72"/>
      <c r="BX14" s="68" t="str">
        <f t="shared" si="31"/>
        <v>0h 00m</v>
      </c>
      <c r="BY14" s="143"/>
      <c r="BZ14" s="71"/>
      <c r="CA14" s="72"/>
      <c r="CB14" s="68" t="str">
        <f t="shared" si="42"/>
        <v>0h 00m</v>
      </c>
      <c r="CC14" s="124"/>
      <c r="CD14" s="114"/>
      <c r="CE14" s="72"/>
      <c r="CF14" s="68" t="str">
        <f t="shared" si="32"/>
        <v>0h 00m</v>
      </c>
      <c r="CG14" s="69"/>
      <c r="CH14" s="71"/>
      <c r="CI14" s="72"/>
      <c r="CJ14" s="68" t="str">
        <f t="shared" si="33"/>
        <v>0h 00m</v>
      </c>
      <c r="CK14" s="69"/>
      <c r="CL14" s="71"/>
      <c r="CM14" s="72"/>
      <c r="CN14" s="68" t="str">
        <f t="shared" si="34"/>
        <v>0h 00m</v>
      </c>
      <c r="CO14" s="69"/>
      <c r="CP14" s="71"/>
      <c r="CQ14" s="72"/>
      <c r="CR14" s="68" t="str">
        <f t="shared" si="35"/>
        <v>0h 00m</v>
      </c>
      <c r="CS14" s="69"/>
      <c r="CT14" s="71"/>
      <c r="CU14" s="72"/>
      <c r="CV14" s="68" t="str">
        <f t="shared" si="36"/>
        <v>0h 00m</v>
      </c>
      <c r="CW14" s="143"/>
      <c r="CX14" s="71"/>
      <c r="CY14" s="72"/>
      <c r="CZ14" s="68" t="str">
        <f t="shared" si="40"/>
        <v>0h 00m</v>
      </c>
      <c r="DA14" s="124"/>
      <c r="DB14" s="114"/>
      <c r="DC14" s="72"/>
      <c r="DD14" s="68" t="str">
        <f t="shared" si="37"/>
        <v>0h 00m</v>
      </c>
      <c r="DE14" s="69"/>
      <c r="DF14" s="71"/>
      <c r="DG14" s="72"/>
      <c r="DH14" s="68" t="str">
        <f t="shared" si="38"/>
        <v>0h 00m</v>
      </c>
      <c r="DI14" s="69"/>
      <c r="DJ14" s="71"/>
      <c r="DK14" s="72"/>
      <c r="DL14" s="68" t="str">
        <f t="shared" si="39"/>
        <v>0h 00m</v>
      </c>
      <c r="DM14" s="69"/>
      <c r="DN14" s="73"/>
      <c r="DO14" s="73"/>
    </row>
    <row r="15" spans="1:120" s="74" customFormat="1" ht="15" thickBot="1">
      <c r="A15" s="53" t="s">
        <v>46</v>
      </c>
      <c r="B15" s="71"/>
      <c r="C15" s="114"/>
      <c r="D15" s="66" t="str">
        <f t="shared" si="0"/>
        <v>0h 00m</v>
      </c>
      <c r="E15" s="155"/>
      <c r="F15" s="114"/>
      <c r="G15" s="72"/>
      <c r="H15" s="66" t="str">
        <f t="shared" si="1"/>
        <v>0h 00m</v>
      </c>
      <c r="I15" s="124"/>
      <c r="J15" s="114"/>
      <c r="K15" s="72"/>
      <c r="L15" s="66" t="str">
        <f t="shared" si="17"/>
        <v>0h 00m</v>
      </c>
      <c r="M15" s="67"/>
      <c r="N15" s="71"/>
      <c r="O15" s="72"/>
      <c r="P15" s="66" t="str">
        <f t="shared" si="18"/>
        <v>0h 00m</v>
      </c>
      <c r="Q15" s="191"/>
      <c r="R15" s="173"/>
      <c r="S15" s="204"/>
      <c r="T15" s="66" t="str">
        <f t="shared" si="41"/>
        <v>0h 00m</v>
      </c>
      <c r="U15" s="198"/>
      <c r="V15" s="71"/>
      <c r="W15" s="72"/>
      <c r="X15" s="68" t="str">
        <f t="shared" si="19"/>
        <v>0h 00m</v>
      </c>
      <c r="Y15" s="69"/>
      <c r="Z15" s="114"/>
      <c r="AA15" s="72"/>
      <c r="AB15" s="68" t="str">
        <f t="shared" si="20"/>
        <v>0h 00m</v>
      </c>
      <c r="AC15" s="69"/>
      <c r="AD15" s="71"/>
      <c r="AE15" s="72"/>
      <c r="AF15" s="68" t="str">
        <f t="shared" si="21"/>
        <v>0h 00m</v>
      </c>
      <c r="AG15" s="69"/>
      <c r="AH15" s="70"/>
      <c r="AI15" s="68"/>
      <c r="AJ15" s="68" t="str">
        <f t="shared" si="22"/>
        <v>0h 00m</v>
      </c>
      <c r="AK15" s="69"/>
      <c r="AL15" s="71"/>
      <c r="AM15" s="72"/>
      <c r="AN15" s="68" t="str">
        <f t="shared" si="23"/>
        <v>0h 00m</v>
      </c>
      <c r="AO15" s="69"/>
      <c r="AP15" s="71"/>
      <c r="AQ15" s="72"/>
      <c r="AR15" s="68" t="str">
        <f t="shared" si="24"/>
        <v>0h 00m</v>
      </c>
      <c r="AS15" s="69"/>
      <c r="AT15" s="71"/>
      <c r="AU15" s="72"/>
      <c r="AV15" s="68" t="str">
        <f t="shared" si="25"/>
        <v>0h 00m</v>
      </c>
      <c r="AW15" s="69"/>
      <c r="AX15" s="71"/>
      <c r="AY15" s="72"/>
      <c r="AZ15" s="68" t="str">
        <f t="shared" si="26"/>
        <v>0h 00m</v>
      </c>
      <c r="BA15" s="69"/>
      <c r="BB15" s="71"/>
      <c r="BC15" s="72"/>
      <c r="BD15" s="68" t="str">
        <f t="shared" si="27"/>
        <v>0h 00m</v>
      </c>
      <c r="BE15" s="143"/>
      <c r="BF15" s="71"/>
      <c r="BG15" s="72"/>
      <c r="BH15" s="72" t="str">
        <f t="shared" si="3"/>
        <v>0h 00m</v>
      </c>
      <c r="BI15" s="124"/>
      <c r="BJ15" s="114"/>
      <c r="BK15" s="72"/>
      <c r="BL15" s="68" t="str">
        <f t="shared" si="28"/>
        <v>0h 00m</v>
      </c>
      <c r="BM15" s="69"/>
      <c r="BN15" s="71"/>
      <c r="BO15" s="72"/>
      <c r="BP15" s="68" t="str">
        <f t="shared" si="29"/>
        <v>0h 00m</v>
      </c>
      <c r="BQ15" s="69"/>
      <c r="BR15" s="71"/>
      <c r="BS15" s="72"/>
      <c r="BT15" s="68" t="str">
        <f t="shared" si="30"/>
        <v>0h 00m</v>
      </c>
      <c r="BU15" s="143"/>
      <c r="BV15" s="71"/>
      <c r="BW15" s="72"/>
      <c r="BX15" s="68" t="str">
        <f t="shared" si="31"/>
        <v>0h 00m</v>
      </c>
      <c r="BY15" s="143"/>
      <c r="BZ15" s="71"/>
      <c r="CA15" s="72"/>
      <c r="CB15" s="68" t="str">
        <f t="shared" si="42"/>
        <v>0h 00m</v>
      </c>
      <c r="CC15" s="124"/>
      <c r="CD15" s="114"/>
      <c r="CE15" s="72"/>
      <c r="CF15" s="68" t="str">
        <f t="shared" si="32"/>
        <v>0h 00m</v>
      </c>
      <c r="CG15" s="69"/>
      <c r="CH15" s="71"/>
      <c r="CI15" s="72"/>
      <c r="CJ15" s="68" t="str">
        <f t="shared" si="33"/>
        <v>0h 00m</v>
      </c>
      <c r="CK15" s="69"/>
      <c r="CL15" s="71"/>
      <c r="CM15" s="72"/>
      <c r="CN15" s="68" t="str">
        <f t="shared" si="34"/>
        <v>0h 00m</v>
      </c>
      <c r="CO15" s="69"/>
      <c r="CP15" s="71"/>
      <c r="CQ15" s="72"/>
      <c r="CR15" s="68" t="str">
        <f t="shared" si="35"/>
        <v>0h 00m</v>
      </c>
      <c r="CS15" s="69"/>
      <c r="CT15" s="83"/>
      <c r="CU15" s="84"/>
      <c r="CV15" s="68" t="str">
        <f t="shared" si="36"/>
        <v>0h 00m</v>
      </c>
      <c r="CW15" s="143"/>
      <c r="CX15" s="71"/>
      <c r="CY15" s="72"/>
      <c r="CZ15" s="68" t="str">
        <f t="shared" si="40"/>
        <v>0h 00m</v>
      </c>
      <c r="DA15" s="124"/>
      <c r="DB15" s="114"/>
      <c r="DC15" s="72"/>
      <c r="DD15" s="68" t="str">
        <f t="shared" si="37"/>
        <v>0h 00m</v>
      </c>
      <c r="DE15" s="69"/>
      <c r="DF15" s="71"/>
      <c r="DG15" s="72"/>
      <c r="DH15" s="68" t="str">
        <f t="shared" si="38"/>
        <v>0h 00m</v>
      </c>
      <c r="DI15" s="69"/>
      <c r="DJ15" s="71"/>
      <c r="DK15" s="72"/>
      <c r="DL15" s="68" t="str">
        <f t="shared" si="39"/>
        <v>0h 00m</v>
      </c>
      <c r="DM15" s="69"/>
      <c r="DN15" s="73"/>
      <c r="DO15" s="73"/>
    </row>
    <row r="16" spans="1:120" ht="15" thickBot="1">
      <c r="A16" s="53" t="s">
        <v>47</v>
      </c>
      <c r="B16" s="171"/>
      <c r="C16" s="172"/>
      <c r="D16" s="10" t="str">
        <f t="shared" si="0"/>
        <v>0h 00m</v>
      </c>
      <c r="E16" s="167"/>
      <c r="F16" s="112"/>
      <c r="G16" s="12"/>
      <c r="H16" s="10" t="str">
        <f t="shared" si="1"/>
        <v>0h 00m</v>
      </c>
      <c r="I16" s="122"/>
      <c r="J16" s="112"/>
      <c r="K16" s="12"/>
      <c r="L16" s="10" t="str">
        <f t="shared" si="17"/>
        <v>0h 00m</v>
      </c>
      <c r="M16" s="31"/>
      <c r="N16" s="30">
        <v>0.30069444444444443</v>
      </c>
      <c r="O16" s="12">
        <v>0.68055555555555558</v>
      </c>
      <c r="P16" s="10" t="str">
        <f t="shared" si="18"/>
        <v>9h 07m</v>
      </c>
      <c r="Q16" s="190"/>
      <c r="R16" s="202" t="s">
        <v>101</v>
      </c>
      <c r="S16" s="203" t="s">
        <v>86</v>
      </c>
      <c r="T16" s="10" t="str">
        <f t="shared" si="41"/>
        <v>9h 40m</v>
      </c>
      <c r="U16" s="62"/>
      <c r="V16" s="132" t="s">
        <v>68</v>
      </c>
      <c r="W16" s="133" t="s">
        <v>69</v>
      </c>
      <c r="X16" s="11" t="str">
        <f>$X$14</f>
        <v>0h 00m</v>
      </c>
      <c r="Y16" s="32" t="s">
        <v>74</v>
      </c>
      <c r="Z16" s="112">
        <v>0.28819444444444442</v>
      </c>
      <c r="AA16" s="12">
        <v>0.68055555555555558</v>
      </c>
      <c r="AB16" s="11" t="str">
        <f t="shared" si="20"/>
        <v>9h 25m</v>
      </c>
      <c r="AC16" s="32"/>
      <c r="AD16" s="30"/>
      <c r="AE16" s="12"/>
      <c r="AF16" s="11" t="str">
        <f t="shared" si="21"/>
        <v>0h 00m</v>
      </c>
      <c r="AG16" s="32"/>
      <c r="AH16" s="36">
        <v>0.29652777777777778</v>
      </c>
      <c r="AI16" s="9">
        <v>0.76041666666666663</v>
      </c>
      <c r="AJ16" s="11" t="str">
        <f t="shared" si="22"/>
        <v>11h 08m</v>
      </c>
      <c r="AK16" s="32"/>
      <c r="AL16" s="30">
        <v>0.27430555555555558</v>
      </c>
      <c r="AM16" s="12">
        <v>0.6875</v>
      </c>
      <c r="AN16" s="11" t="str">
        <f t="shared" si="23"/>
        <v>9h 55m</v>
      </c>
      <c r="AO16" s="32"/>
      <c r="AP16" s="134" t="s">
        <v>71</v>
      </c>
      <c r="AQ16" s="139" t="s">
        <v>69</v>
      </c>
      <c r="AR16" s="11" t="str">
        <f>$BT$21</f>
        <v>0h 00m</v>
      </c>
      <c r="AS16" s="32"/>
      <c r="AT16" s="30">
        <v>0.30208333333333331</v>
      </c>
      <c r="AU16" s="12">
        <v>0.67708333333333337</v>
      </c>
      <c r="AV16" s="11" t="str">
        <f t="shared" si="25"/>
        <v>9h 00m</v>
      </c>
      <c r="AW16" s="32"/>
      <c r="AX16" s="30">
        <v>0.28472222222222221</v>
      </c>
      <c r="AY16" s="12">
        <v>0.6875</v>
      </c>
      <c r="AZ16" s="11" t="str">
        <f t="shared" si="26"/>
        <v>9h 40m</v>
      </c>
      <c r="BA16" s="32"/>
      <c r="BB16" s="134" t="s">
        <v>71</v>
      </c>
      <c r="BC16" s="139" t="s">
        <v>69</v>
      </c>
      <c r="BD16" s="11" t="str">
        <f>$BT$21</f>
        <v>0h 00m</v>
      </c>
      <c r="BE16" s="142" t="s">
        <v>87</v>
      </c>
      <c r="BF16" s="38"/>
      <c r="BG16" s="14"/>
      <c r="BH16" s="14" t="str">
        <f t="shared" si="3"/>
        <v>0h 00m</v>
      </c>
      <c r="BI16" s="56"/>
      <c r="BJ16" s="112">
        <v>0.29166666666666669</v>
      </c>
      <c r="BK16" s="12">
        <v>0.67708333333333337</v>
      </c>
      <c r="BL16" s="11" t="str">
        <f t="shared" si="28"/>
        <v>9h 15m</v>
      </c>
      <c r="BM16" s="32"/>
      <c r="BN16" s="30">
        <v>0.29375000000000001</v>
      </c>
      <c r="BO16" s="12">
        <v>0.67986111111111114</v>
      </c>
      <c r="BP16" s="11" t="str">
        <f t="shared" si="29"/>
        <v>9h 16m</v>
      </c>
      <c r="BQ16" s="32"/>
      <c r="BR16" s="30">
        <v>0.2986111111111111</v>
      </c>
      <c r="BS16" s="12">
        <v>0.67986111111111114</v>
      </c>
      <c r="BT16" s="11" t="str">
        <f t="shared" si="30"/>
        <v>9h 09m</v>
      </c>
      <c r="BU16" s="142"/>
      <c r="BV16" s="30">
        <v>0.29375000000000001</v>
      </c>
      <c r="BW16" s="12">
        <v>0.67708333333333337</v>
      </c>
      <c r="BX16" s="11" t="str">
        <f t="shared" si="31"/>
        <v>9h 12m</v>
      </c>
      <c r="BY16" s="142"/>
      <c r="BZ16" s="38"/>
      <c r="CA16" s="14"/>
      <c r="CB16" s="11" t="str">
        <f t="shared" si="42"/>
        <v>0h 00m</v>
      </c>
      <c r="CC16" s="56"/>
      <c r="CD16" s="148">
        <v>0.3034722222222222</v>
      </c>
      <c r="CE16" s="13">
        <v>0.67847222222222225</v>
      </c>
      <c r="CF16" s="11" t="str">
        <f t="shared" si="32"/>
        <v>9h 00m</v>
      </c>
      <c r="CG16" s="32"/>
      <c r="CH16" s="30">
        <v>0.29166666666666669</v>
      </c>
      <c r="CI16" s="12">
        <v>0.67708333333333337</v>
      </c>
      <c r="CJ16" s="11" t="str">
        <f t="shared" si="33"/>
        <v>9h 15m</v>
      </c>
      <c r="CK16" s="32"/>
      <c r="CL16" s="30">
        <v>0.29722222222222222</v>
      </c>
      <c r="CM16" s="12">
        <v>0.67847222222222225</v>
      </c>
      <c r="CN16" s="11" t="str">
        <f t="shared" si="34"/>
        <v>9h 09m</v>
      </c>
      <c r="CO16" s="32"/>
      <c r="CP16" s="30">
        <v>0.28888888888888886</v>
      </c>
      <c r="CQ16" s="12">
        <v>0.67708333333333337</v>
      </c>
      <c r="CR16" s="11" t="str">
        <f t="shared" si="35"/>
        <v>9h 19m</v>
      </c>
      <c r="CS16" s="32"/>
      <c r="CT16" s="30">
        <v>0.30138888888888887</v>
      </c>
      <c r="CU16" s="12">
        <v>0.67777777777777781</v>
      </c>
      <c r="CV16" s="11" t="str">
        <f t="shared" si="36"/>
        <v>9h 02m</v>
      </c>
      <c r="CW16" s="142"/>
      <c r="CX16" s="30">
        <v>0.27777777777777779</v>
      </c>
      <c r="CY16" s="12">
        <v>0.72222222222222221</v>
      </c>
      <c r="CZ16" s="11" t="str">
        <f t="shared" si="40"/>
        <v>10h 40m</v>
      </c>
      <c r="DA16" s="56"/>
      <c r="DB16" s="112">
        <v>0.28472222222222221</v>
      </c>
      <c r="DC16" s="12">
        <v>0.75694444444444442</v>
      </c>
      <c r="DD16" s="11" t="str">
        <f t="shared" si="37"/>
        <v>11h 20m</v>
      </c>
      <c r="DE16" s="32"/>
      <c r="DF16" s="38"/>
      <c r="DG16" s="14"/>
      <c r="DH16" s="11" t="str">
        <f t="shared" si="38"/>
        <v>0h 00m</v>
      </c>
      <c r="DI16" s="32"/>
      <c r="DJ16" s="30">
        <v>0.30069444444444443</v>
      </c>
      <c r="DK16" s="12">
        <v>0.67847222222222225</v>
      </c>
      <c r="DL16" s="11" t="str">
        <f t="shared" si="39"/>
        <v>9h 04m</v>
      </c>
      <c r="DM16" s="32"/>
      <c r="DN16" s="44"/>
      <c r="DO16" s="44"/>
      <c r="DP16" s="8"/>
    </row>
    <row r="17" spans="1:120" s="104" customFormat="1" ht="15" thickBot="1">
      <c r="A17" s="53" t="s">
        <v>48</v>
      </c>
      <c r="B17" s="97"/>
      <c r="C17" s="115"/>
      <c r="D17" s="105" t="str">
        <f t="shared" si="0"/>
        <v>0h 00m</v>
      </c>
      <c r="E17" s="156"/>
      <c r="F17" s="115"/>
      <c r="G17" s="98"/>
      <c r="H17" s="105" t="str">
        <f t="shared" si="1"/>
        <v>0h 00m</v>
      </c>
      <c r="I17" s="125"/>
      <c r="J17" s="115"/>
      <c r="K17" s="98"/>
      <c r="L17" s="105" t="str">
        <f t="shared" si="17"/>
        <v>0h 00m</v>
      </c>
      <c r="M17" s="108"/>
      <c r="N17" s="97"/>
      <c r="O17" s="98"/>
      <c r="P17" s="105" t="str">
        <f t="shared" si="18"/>
        <v>0h 00m</v>
      </c>
      <c r="Q17" s="192"/>
      <c r="R17" s="175"/>
      <c r="S17" s="207"/>
      <c r="T17" s="105" t="str">
        <f t="shared" si="41"/>
        <v>0h 00m</v>
      </c>
      <c r="U17" s="199"/>
      <c r="V17" s="97"/>
      <c r="W17" s="98"/>
      <c r="X17" s="99" t="str">
        <f t="shared" si="19"/>
        <v>0h 00m</v>
      </c>
      <c r="Y17" s="100"/>
      <c r="Z17" s="115"/>
      <c r="AA17" s="98"/>
      <c r="AB17" s="99" t="str">
        <f t="shared" si="20"/>
        <v>0h 00m</v>
      </c>
      <c r="AC17" s="100"/>
      <c r="AD17" s="97"/>
      <c r="AE17" s="98"/>
      <c r="AF17" s="99" t="str">
        <f t="shared" si="21"/>
        <v>0h 00m</v>
      </c>
      <c r="AG17" s="100"/>
      <c r="AH17" s="101"/>
      <c r="AI17" s="102"/>
      <c r="AJ17" s="99" t="str">
        <f t="shared" si="22"/>
        <v>0h 00m</v>
      </c>
      <c r="AK17" s="100"/>
      <c r="AL17" s="97"/>
      <c r="AM17" s="98"/>
      <c r="AN17" s="99" t="str">
        <f t="shared" si="23"/>
        <v>0h 00m</v>
      </c>
      <c r="AO17" s="100"/>
      <c r="AP17" s="97"/>
      <c r="AQ17" s="98"/>
      <c r="AR17" s="99" t="str">
        <f t="shared" si="24"/>
        <v>0h 00m</v>
      </c>
      <c r="AS17" s="100"/>
      <c r="AT17" s="97"/>
      <c r="AU17" s="98"/>
      <c r="AV17" s="99" t="str">
        <f t="shared" si="25"/>
        <v>0h 00m</v>
      </c>
      <c r="AW17" s="100"/>
      <c r="AX17" s="97"/>
      <c r="AY17" s="98"/>
      <c r="AZ17" s="99" t="str">
        <f t="shared" si="26"/>
        <v>0h 00m</v>
      </c>
      <c r="BA17" s="100"/>
      <c r="BB17" s="97"/>
      <c r="BC17" s="98"/>
      <c r="BD17" s="99" t="str">
        <f t="shared" si="27"/>
        <v>0h 00m</v>
      </c>
      <c r="BE17" s="144"/>
      <c r="BF17" s="106"/>
      <c r="BG17" s="107"/>
      <c r="BH17" s="107" t="str">
        <f t="shared" si="3"/>
        <v>0h 00m</v>
      </c>
      <c r="BI17" s="185"/>
      <c r="BJ17" s="115"/>
      <c r="BK17" s="98"/>
      <c r="BL17" s="99" t="str">
        <f t="shared" si="28"/>
        <v>0h 00m</v>
      </c>
      <c r="BM17" s="100"/>
      <c r="BN17" s="97"/>
      <c r="BO17" s="98"/>
      <c r="BP17" s="99" t="str">
        <f t="shared" si="29"/>
        <v>0h 00m</v>
      </c>
      <c r="BQ17" s="100"/>
      <c r="BR17" s="97"/>
      <c r="BS17" s="98"/>
      <c r="BT17" s="99" t="str">
        <f t="shared" si="30"/>
        <v>0h 00m</v>
      </c>
      <c r="BU17" s="144"/>
      <c r="BV17" s="97"/>
      <c r="BW17" s="98"/>
      <c r="BX17" s="99" t="str">
        <f t="shared" si="31"/>
        <v>0h 00m</v>
      </c>
      <c r="BY17" s="144"/>
      <c r="BZ17" s="106"/>
      <c r="CA17" s="107"/>
      <c r="CB17" s="99" t="str">
        <f t="shared" si="42"/>
        <v>0h 00m</v>
      </c>
      <c r="CC17" s="185"/>
      <c r="CD17" s="115"/>
      <c r="CE17" s="98"/>
      <c r="CF17" s="99" t="str">
        <f t="shared" si="32"/>
        <v>0h 00m</v>
      </c>
      <c r="CG17" s="100"/>
      <c r="CH17" s="97"/>
      <c r="CI17" s="98"/>
      <c r="CJ17" s="99" t="str">
        <f t="shared" si="33"/>
        <v>0h 00m</v>
      </c>
      <c r="CK17" s="100"/>
      <c r="CL17" s="97"/>
      <c r="CM17" s="98"/>
      <c r="CN17" s="99" t="str">
        <f t="shared" si="34"/>
        <v>0h 00m</v>
      </c>
      <c r="CO17" s="100"/>
      <c r="CP17" s="97"/>
      <c r="CQ17" s="98"/>
      <c r="CR17" s="99" t="str">
        <f t="shared" si="35"/>
        <v>0h 00m</v>
      </c>
      <c r="CS17" s="100"/>
      <c r="CT17" s="97"/>
      <c r="CU17" s="98"/>
      <c r="CV17" s="99" t="str">
        <f t="shared" si="36"/>
        <v>0h 00m</v>
      </c>
      <c r="CW17" s="144"/>
      <c r="CX17" s="106"/>
      <c r="CY17" s="107"/>
      <c r="CZ17" s="99" t="str">
        <f t="shared" si="40"/>
        <v>0h 00m</v>
      </c>
      <c r="DA17" s="185"/>
      <c r="DB17" s="115"/>
      <c r="DC17" s="98"/>
      <c r="DD17" s="99" t="str">
        <f t="shared" si="37"/>
        <v>0h 00m</v>
      </c>
      <c r="DE17" s="100"/>
      <c r="DF17" s="97"/>
      <c r="DG17" s="98"/>
      <c r="DH17" s="99" t="str">
        <f t="shared" si="38"/>
        <v>0h 00m</v>
      </c>
      <c r="DI17" s="100"/>
      <c r="DJ17" s="97"/>
      <c r="DK17" s="98"/>
      <c r="DL17" s="99" t="str">
        <f t="shared" si="39"/>
        <v>0h 00m</v>
      </c>
      <c r="DM17" s="100"/>
      <c r="DN17" s="103"/>
      <c r="DO17" s="103"/>
    </row>
    <row r="18" spans="1:120" ht="15" thickBot="1">
      <c r="A18" s="53" t="s">
        <v>49</v>
      </c>
      <c r="B18" s="171"/>
      <c r="C18" s="172"/>
      <c r="D18" s="10" t="str">
        <f t="shared" si="0"/>
        <v>0h 00m</v>
      </c>
      <c r="E18" s="167"/>
      <c r="F18" s="112"/>
      <c r="G18" s="12"/>
      <c r="H18" s="10" t="str">
        <f t="shared" si="1"/>
        <v>0h 00m</v>
      </c>
      <c r="I18" s="122"/>
      <c r="J18" s="112"/>
      <c r="K18" s="12"/>
      <c r="L18" s="10" t="str">
        <f t="shared" si="17"/>
        <v>0h 00m</v>
      </c>
      <c r="M18" s="31"/>
      <c r="N18" s="30">
        <v>0.29930555555555555</v>
      </c>
      <c r="O18" s="12">
        <v>0.68333333333333335</v>
      </c>
      <c r="P18" s="10" t="str">
        <f t="shared" si="18"/>
        <v>9h 13m</v>
      </c>
      <c r="Q18" s="190"/>
      <c r="R18" s="202" t="s">
        <v>98</v>
      </c>
      <c r="S18" s="203" t="s">
        <v>93</v>
      </c>
      <c r="T18" s="10" t="str">
        <f t="shared" si="41"/>
        <v>9h 14m</v>
      </c>
      <c r="U18" s="62"/>
      <c r="V18" s="132" t="s">
        <v>68</v>
      </c>
      <c r="W18" s="133" t="s">
        <v>69</v>
      </c>
      <c r="X18" s="11" t="str">
        <f>$X$14</f>
        <v>0h 00m</v>
      </c>
      <c r="Y18" s="32" t="s">
        <v>74</v>
      </c>
      <c r="Z18" s="112">
        <v>0.3</v>
      </c>
      <c r="AA18" s="12">
        <v>0.68055555555555558</v>
      </c>
      <c r="AB18" s="11" t="str">
        <f t="shared" si="20"/>
        <v>9h 08m</v>
      </c>
      <c r="AC18" s="32"/>
      <c r="AD18" s="30"/>
      <c r="AE18" s="12"/>
      <c r="AF18" s="11" t="str">
        <f t="shared" si="21"/>
        <v>0h 00m</v>
      </c>
      <c r="AG18" s="32"/>
      <c r="AH18" s="36">
        <v>0.3</v>
      </c>
      <c r="AI18" s="9">
        <v>0.67847222222222225</v>
      </c>
      <c r="AJ18" s="11" t="str">
        <f t="shared" si="22"/>
        <v>9h 05m</v>
      </c>
      <c r="AK18" s="32"/>
      <c r="AL18" s="30">
        <v>0.27291666666666664</v>
      </c>
      <c r="AM18" s="12">
        <v>0.69444444444444442</v>
      </c>
      <c r="AN18" s="11" t="str">
        <f t="shared" si="23"/>
        <v>10h 07m</v>
      </c>
      <c r="AO18" s="32"/>
      <c r="AP18" s="134" t="s">
        <v>71</v>
      </c>
      <c r="AQ18" s="139" t="s">
        <v>69</v>
      </c>
      <c r="AR18" s="11" t="str">
        <f>$BT$21</f>
        <v>0h 00m</v>
      </c>
      <c r="AS18" s="32"/>
      <c r="AT18" s="30">
        <v>0.28125</v>
      </c>
      <c r="AU18" s="12">
        <v>0.68055555555555558</v>
      </c>
      <c r="AV18" s="11" t="str">
        <f t="shared" si="25"/>
        <v>9h 35m</v>
      </c>
      <c r="AW18" s="32"/>
      <c r="AX18" s="30">
        <v>0.29375000000000001</v>
      </c>
      <c r="AY18" s="12">
        <v>0.67708333333333337</v>
      </c>
      <c r="AZ18" s="11" t="str">
        <f t="shared" si="26"/>
        <v>9h 12m</v>
      </c>
      <c r="BA18" s="32"/>
      <c r="BB18" s="30">
        <v>0.28611111111111109</v>
      </c>
      <c r="BC18" s="12">
        <v>0.67708333333333337</v>
      </c>
      <c r="BD18" s="11" t="str">
        <f t="shared" si="27"/>
        <v>9h 23m</v>
      </c>
      <c r="BE18" s="142"/>
      <c r="BF18" s="38"/>
      <c r="BG18" s="14"/>
      <c r="BH18" s="14" t="str">
        <f t="shared" si="3"/>
        <v>0h 00m</v>
      </c>
      <c r="BI18" s="56"/>
      <c r="BJ18" s="112">
        <v>0.29166666666666669</v>
      </c>
      <c r="BK18" s="12">
        <v>0.68055555555555558</v>
      </c>
      <c r="BL18" s="11" t="str">
        <f t="shared" si="28"/>
        <v>9h 20m</v>
      </c>
      <c r="BM18" s="32"/>
      <c r="BN18" s="30">
        <v>0.29166666666666669</v>
      </c>
      <c r="BO18" s="12">
        <v>0.67777777777777781</v>
      </c>
      <c r="BP18" s="11" t="str">
        <f t="shared" si="29"/>
        <v>9h 16m</v>
      </c>
      <c r="BQ18" s="32"/>
      <c r="BR18" s="30">
        <v>0.29722222222222222</v>
      </c>
      <c r="BS18" s="12">
        <v>0.67847222222222225</v>
      </c>
      <c r="BT18" s="11" t="str">
        <f t="shared" si="30"/>
        <v>9h 09m</v>
      </c>
      <c r="BU18" s="142"/>
      <c r="BV18" s="30">
        <v>0.28888888888888886</v>
      </c>
      <c r="BW18" s="12">
        <v>0.68125000000000002</v>
      </c>
      <c r="BX18" s="11" t="str">
        <f t="shared" si="31"/>
        <v>9h 25m</v>
      </c>
      <c r="BY18" s="142"/>
      <c r="BZ18" s="38"/>
      <c r="CA18" s="14"/>
      <c r="CB18" s="11" t="str">
        <f t="shared" si="42"/>
        <v>0h 00m</v>
      </c>
      <c r="CC18" s="56"/>
      <c r="CD18" s="112">
        <v>0.30069444444444443</v>
      </c>
      <c r="CE18" s="12">
        <v>0.68055555555555558</v>
      </c>
      <c r="CF18" s="11" t="str">
        <f t="shared" si="32"/>
        <v>9h 07m</v>
      </c>
      <c r="CG18" s="32"/>
      <c r="CH18" s="30">
        <v>0.29166666666666669</v>
      </c>
      <c r="CI18" s="12">
        <v>0.67708333333333337</v>
      </c>
      <c r="CJ18" s="11" t="str">
        <f t="shared" si="33"/>
        <v>9h 15m</v>
      </c>
      <c r="CK18" s="32"/>
      <c r="CL18" s="135" t="s">
        <v>71</v>
      </c>
      <c r="CM18" s="137" t="s">
        <v>69</v>
      </c>
      <c r="CN18" s="11" t="str">
        <f>$CN$21</f>
        <v>0h 00m</v>
      </c>
      <c r="CO18" s="32" t="s">
        <v>82</v>
      </c>
      <c r="CP18" s="30">
        <v>0.2902777777777778</v>
      </c>
      <c r="CQ18" s="12">
        <v>0.67708333333333337</v>
      </c>
      <c r="CR18" s="11" t="str">
        <f t="shared" si="35"/>
        <v>9h 17m</v>
      </c>
      <c r="CS18" s="32"/>
      <c r="CT18" s="30">
        <v>0.30277777777777776</v>
      </c>
      <c r="CU18" s="12">
        <v>0.67777777777777781</v>
      </c>
      <c r="CV18" s="11" t="str">
        <f t="shared" si="36"/>
        <v>9h 00m</v>
      </c>
      <c r="CW18" s="142"/>
      <c r="CX18" s="30">
        <v>0.27430555555555558</v>
      </c>
      <c r="CY18" s="12">
        <v>0.67708333333333337</v>
      </c>
      <c r="CZ18" s="11" t="str">
        <f t="shared" si="40"/>
        <v>9h 40m</v>
      </c>
      <c r="DA18" s="56"/>
      <c r="DB18" s="112">
        <v>0.28472222222222221</v>
      </c>
      <c r="DC18" s="12">
        <v>0.69444444444444442</v>
      </c>
      <c r="DD18" s="11" t="str">
        <f t="shared" si="37"/>
        <v>9h 50m</v>
      </c>
      <c r="DE18" s="32"/>
      <c r="DF18" s="38"/>
      <c r="DG18" s="14"/>
      <c r="DH18" s="11" t="str">
        <f t="shared" si="38"/>
        <v>0h 00m</v>
      </c>
      <c r="DI18" s="32"/>
      <c r="DJ18" s="30">
        <v>0.2986111111111111</v>
      </c>
      <c r="DK18" s="12">
        <v>0.67847222222222225</v>
      </c>
      <c r="DL18" s="11" t="str">
        <f t="shared" si="39"/>
        <v>9h 07m</v>
      </c>
      <c r="DM18" s="32"/>
      <c r="DN18" s="44"/>
      <c r="DO18" s="44"/>
      <c r="DP18" s="8"/>
    </row>
    <row r="19" spans="1:120" ht="15" thickBot="1">
      <c r="A19" s="53" t="s">
        <v>50</v>
      </c>
      <c r="B19" s="171"/>
      <c r="C19" s="172"/>
      <c r="D19" s="10" t="str">
        <f t="shared" si="0"/>
        <v>0h 00m</v>
      </c>
      <c r="E19" s="167"/>
      <c r="F19" s="112"/>
      <c r="G19" s="12"/>
      <c r="H19" s="10" t="str">
        <f t="shared" si="1"/>
        <v>0h 00m</v>
      </c>
      <c r="I19" s="122"/>
      <c r="J19" s="112"/>
      <c r="K19" s="12"/>
      <c r="L19" s="10" t="str">
        <f t="shared" si="17"/>
        <v>0h 00m</v>
      </c>
      <c r="M19" s="31"/>
      <c r="N19" s="30">
        <v>0.33124999999999999</v>
      </c>
      <c r="O19" s="12">
        <v>0.68888888888888888</v>
      </c>
      <c r="P19" s="10" t="str">
        <f t="shared" si="18"/>
        <v>8h 35m</v>
      </c>
      <c r="Q19" s="190"/>
      <c r="R19" s="202" t="s">
        <v>103</v>
      </c>
      <c r="S19" s="203" t="s">
        <v>106</v>
      </c>
      <c r="T19" s="10" t="str">
        <f t="shared" si="41"/>
        <v>9h 11m</v>
      </c>
      <c r="U19" s="62"/>
      <c r="V19" s="132" t="s">
        <v>68</v>
      </c>
      <c r="W19" s="133" t="s">
        <v>69</v>
      </c>
      <c r="X19" s="11" t="str">
        <f>$X$14</f>
        <v>0h 00m</v>
      </c>
      <c r="Y19" s="32" t="s">
        <v>74</v>
      </c>
      <c r="Z19" s="196" t="s">
        <v>68</v>
      </c>
      <c r="AA19" s="133" t="s">
        <v>69</v>
      </c>
      <c r="AB19" s="11" t="str">
        <f>$AB$7</f>
        <v>0h 00m</v>
      </c>
      <c r="AC19" s="32" t="s">
        <v>105</v>
      </c>
      <c r="AD19" s="30"/>
      <c r="AE19" s="12"/>
      <c r="AF19" s="11" t="str">
        <f t="shared" si="21"/>
        <v>0h 00m</v>
      </c>
      <c r="AG19" s="32"/>
      <c r="AH19" s="36">
        <v>0.29722222222222222</v>
      </c>
      <c r="AI19" s="9">
        <v>0.68055555555555558</v>
      </c>
      <c r="AJ19" s="11" t="str">
        <f t="shared" si="22"/>
        <v>9h 12m</v>
      </c>
      <c r="AK19" s="32"/>
      <c r="AL19" s="30">
        <v>0.28125</v>
      </c>
      <c r="AM19" s="12">
        <v>0.68402777777777779</v>
      </c>
      <c r="AN19" s="11" t="str">
        <f t="shared" si="23"/>
        <v>9h 40m</v>
      </c>
      <c r="AO19" s="32"/>
      <c r="AP19" s="134" t="s">
        <v>71</v>
      </c>
      <c r="AQ19" s="139" t="s">
        <v>69</v>
      </c>
      <c r="AR19" s="11" t="str">
        <f>$BT$21</f>
        <v>0h 00m</v>
      </c>
      <c r="AS19" s="32"/>
      <c r="AT19" s="30">
        <v>0.2986111111111111</v>
      </c>
      <c r="AU19" s="12">
        <v>0.67847222222222225</v>
      </c>
      <c r="AV19" s="11" t="str">
        <f t="shared" si="25"/>
        <v>9h 07m</v>
      </c>
      <c r="AW19" s="32"/>
      <c r="AX19" s="30">
        <v>0.29375000000000001</v>
      </c>
      <c r="AY19" s="12">
        <v>0.67708333333333337</v>
      </c>
      <c r="AZ19" s="11" t="str">
        <f t="shared" si="26"/>
        <v>9h 12m</v>
      </c>
      <c r="BA19" s="32"/>
      <c r="BB19" s="30">
        <v>0.29236111111111113</v>
      </c>
      <c r="BC19" s="12">
        <v>0.67708333333333337</v>
      </c>
      <c r="BD19" s="11" t="str">
        <f t="shared" si="27"/>
        <v>9h 14m</v>
      </c>
      <c r="BE19" s="142"/>
      <c r="BF19" s="38"/>
      <c r="BG19" s="14"/>
      <c r="BH19" s="14" t="str">
        <f t="shared" si="3"/>
        <v>0h 00m</v>
      </c>
      <c r="BI19" s="56"/>
      <c r="BJ19" s="112">
        <v>0.29166666666666669</v>
      </c>
      <c r="BK19" s="12">
        <v>0.68055555555555558</v>
      </c>
      <c r="BL19" s="11" t="str">
        <f t="shared" si="28"/>
        <v>9h 20m</v>
      </c>
      <c r="BM19" s="32"/>
      <c r="BN19" s="211" t="s">
        <v>32</v>
      </c>
      <c r="BO19" s="211" t="s">
        <v>32</v>
      </c>
      <c r="BP19" s="11" t="str">
        <f>$BX$22</f>
        <v>0h 00m</v>
      </c>
      <c r="BQ19" s="32"/>
      <c r="BR19" s="211" t="s">
        <v>32</v>
      </c>
      <c r="BS19" s="211" t="s">
        <v>32</v>
      </c>
      <c r="BT19" s="11" t="str">
        <f>$BX$22</f>
        <v>0h 00m</v>
      </c>
      <c r="BU19" s="142"/>
      <c r="BV19" s="30">
        <v>0.29236111111111113</v>
      </c>
      <c r="BW19" s="12">
        <v>0.67708333333333337</v>
      </c>
      <c r="BX19" s="11" t="str">
        <f t="shared" si="31"/>
        <v>9h 14m</v>
      </c>
      <c r="BY19" s="142"/>
      <c r="BZ19" s="38"/>
      <c r="CA19" s="14"/>
      <c r="CB19" s="11" t="str">
        <f t="shared" si="42"/>
        <v>0h 00m</v>
      </c>
      <c r="CC19" s="56"/>
      <c r="CD19" s="112">
        <v>0.30208333333333331</v>
      </c>
      <c r="CE19" s="12">
        <v>0.67986111111111114</v>
      </c>
      <c r="CF19" s="11" t="str">
        <f t="shared" si="32"/>
        <v>9h 04m</v>
      </c>
      <c r="CG19" s="32"/>
      <c r="CH19" s="30">
        <v>0.29166666666666669</v>
      </c>
      <c r="CI19" s="12">
        <v>0.67708333333333337</v>
      </c>
      <c r="CJ19" s="11" t="str">
        <f t="shared" si="33"/>
        <v>9h 15m</v>
      </c>
      <c r="CK19" s="32"/>
      <c r="CL19" s="135" t="s">
        <v>71</v>
      </c>
      <c r="CM19" s="137" t="s">
        <v>69</v>
      </c>
      <c r="CN19" s="11" t="str">
        <f>$CN$21</f>
        <v>0h 00m</v>
      </c>
      <c r="CO19" s="32" t="s">
        <v>82</v>
      </c>
      <c r="CP19" s="30">
        <v>0.28749999999999998</v>
      </c>
      <c r="CQ19" s="12">
        <v>0.67708333333333337</v>
      </c>
      <c r="CR19" s="11" t="str">
        <f t="shared" si="35"/>
        <v>9h 21m</v>
      </c>
      <c r="CS19" s="32"/>
      <c r="CT19" s="30">
        <v>0.30208333333333331</v>
      </c>
      <c r="CU19" s="12">
        <v>0.67708333333333337</v>
      </c>
      <c r="CV19" s="11" t="str">
        <f t="shared" si="36"/>
        <v>9h 00m</v>
      </c>
      <c r="CW19" s="142"/>
      <c r="CX19" s="30">
        <v>0.27777777777777779</v>
      </c>
      <c r="CY19" s="12">
        <v>0.67708333333333337</v>
      </c>
      <c r="CZ19" s="11" t="str">
        <f t="shared" si="40"/>
        <v>9h 35m</v>
      </c>
      <c r="DA19" s="56"/>
      <c r="DB19" s="112">
        <v>0.28819444444444442</v>
      </c>
      <c r="DC19" s="12">
        <v>0.69166666666666665</v>
      </c>
      <c r="DD19" s="11" t="str">
        <f t="shared" si="37"/>
        <v>9h 41m</v>
      </c>
      <c r="DE19" s="32"/>
      <c r="DF19" s="30">
        <v>0.31388888888888888</v>
      </c>
      <c r="DG19" s="12">
        <v>0.68541666666666667</v>
      </c>
      <c r="DH19" s="11" t="str">
        <f t="shared" si="38"/>
        <v>8h 55m</v>
      </c>
      <c r="DI19" s="32"/>
      <c r="DJ19" s="134" t="s">
        <v>71</v>
      </c>
      <c r="DK19" s="136" t="s">
        <v>69</v>
      </c>
      <c r="DL19" s="11" t="str">
        <f>$CV$29</f>
        <v>0h 00m</v>
      </c>
      <c r="DM19" s="32" t="s">
        <v>83</v>
      </c>
      <c r="DN19" s="44"/>
      <c r="DO19" s="44"/>
      <c r="DP19" s="8"/>
    </row>
    <row r="20" spans="1:120" ht="15" thickBot="1">
      <c r="A20" s="53" t="s">
        <v>51</v>
      </c>
      <c r="B20" s="171"/>
      <c r="C20" s="172"/>
      <c r="D20" s="10" t="str">
        <f t="shared" si="0"/>
        <v>0h 00m</v>
      </c>
      <c r="E20" s="167"/>
      <c r="F20" s="112"/>
      <c r="G20" s="12"/>
      <c r="H20" s="10" t="str">
        <f t="shared" si="1"/>
        <v>0h 00m</v>
      </c>
      <c r="I20" s="122"/>
      <c r="J20" s="112"/>
      <c r="K20" s="12"/>
      <c r="L20" s="10" t="str">
        <f t="shared" si="17"/>
        <v>0h 00m</v>
      </c>
      <c r="M20" s="31"/>
      <c r="N20" s="30">
        <v>0.2986111111111111</v>
      </c>
      <c r="O20" s="12">
        <v>0.68888888888888888</v>
      </c>
      <c r="P20" s="10" t="str">
        <f t="shared" si="18"/>
        <v>9h 22m</v>
      </c>
      <c r="Q20" s="190"/>
      <c r="R20" s="202" t="s">
        <v>107</v>
      </c>
      <c r="S20" s="203" t="s">
        <v>97</v>
      </c>
      <c r="T20" s="10" t="str">
        <f t="shared" si="41"/>
        <v>9h 12m</v>
      </c>
      <c r="U20" s="62"/>
      <c r="V20" s="132" t="s">
        <v>68</v>
      </c>
      <c r="W20" s="133" t="s">
        <v>69</v>
      </c>
      <c r="X20" s="11" t="str">
        <f>$X$14</f>
        <v>0h 00m</v>
      </c>
      <c r="Y20" s="32" t="s">
        <v>74</v>
      </c>
      <c r="Z20" s="112">
        <v>0.28819444444444442</v>
      </c>
      <c r="AA20" s="12">
        <v>0.68055555555555558</v>
      </c>
      <c r="AB20" s="11" t="str">
        <f t="shared" si="20"/>
        <v>9h 25m</v>
      </c>
      <c r="AC20" s="32"/>
      <c r="AD20" s="30"/>
      <c r="AE20" s="12"/>
      <c r="AF20" s="11" t="str">
        <f t="shared" si="21"/>
        <v>0h 00m</v>
      </c>
      <c r="AG20" s="32"/>
      <c r="AH20" s="36">
        <v>0.29166666666666669</v>
      </c>
      <c r="AI20" s="9">
        <v>0.68055555555555558</v>
      </c>
      <c r="AJ20" s="11" t="str">
        <f t="shared" si="22"/>
        <v>9h 20m</v>
      </c>
      <c r="AK20" s="32"/>
      <c r="AL20" s="134" t="s">
        <v>71</v>
      </c>
      <c r="AM20" s="139" t="s">
        <v>69</v>
      </c>
      <c r="AN20" s="11" t="str">
        <f>$BT$21</f>
        <v>0h 00m</v>
      </c>
      <c r="AO20" s="32" t="s">
        <v>104</v>
      </c>
      <c r="AP20" s="134" t="s">
        <v>71</v>
      </c>
      <c r="AQ20" s="139" t="s">
        <v>69</v>
      </c>
      <c r="AR20" s="11" t="str">
        <f>$BT$21</f>
        <v>0h 00m</v>
      </c>
      <c r="AS20" s="32"/>
      <c r="AT20" s="30">
        <v>0.2986111111111111</v>
      </c>
      <c r="AU20" s="12">
        <v>0.68055555555555558</v>
      </c>
      <c r="AV20" s="11" t="str">
        <f t="shared" si="25"/>
        <v>9h 10m</v>
      </c>
      <c r="AW20" s="32"/>
      <c r="AX20" s="30">
        <v>0.29166666666666669</v>
      </c>
      <c r="AY20" s="12">
        <v>0.67847222222222225</v>
      </c>
      <c r="AZ20" s="11" t="str">
        <f t="shared" si="26"/>
        <v>9h 17m</v>
      </c>
      <c r="BA20" s="32"/>
      <c r="BB20" s="30">
        <v>0.28541666666666665</v>
      </c>
      <c r="BC20" s="12">
        <v>0.67777777777777781</v>
      </c>
      <c r="BD20" s="11" t="str">
        <f t="shared" si="27"/>
        <v>9h 25m</v>
      </c>
      <c r="BE20" s="142"/>
      <c r="BF20" s="38"/>
      <c r="BG20" s="14"/>
      <c r="BH20" s="14" t="str">
        <f t="shared" si="3"/>
        <v>0h 00m</v>
      </c>
      <c r="BI20" s="56"/>
      <c r="BJ20" s="112">
        <v>0.29166666666666669</v>
      </c>
      <c r="BK20" s="12">
        <v>0.68055555555555558</v>
      </c>
      <c r="BL20" s="11" t="str">
        <f t="shared" si="28"/>
        <v>9h 20m</v>
      </c>
      <c r="BM20" s="32"/>
      <c r="BN20" s="30"/>
      <c r="BO20" s="12"/>
      <c r="BP20" s="11" t="str">
        <f t="shared" si="29"/>
        <v>0h 00m</v>
      </c>
      <c r="BQ20" s="32"/>
      <c r="BR20" s="30"/>
      <c r="BS20" s="12"/>
      <c r="BT20" s="11" t="str">
        <f t="shared" si="30"/>
        <v>0h 00m</v>
      </c>
      <c r="BU20" s="142"/>
      <c r="BV20" s="30"/>
      <c r="BW20" s="12"/>
      <c r="BX20" s="11" t="str">
        <f t="shared" si="31"/>
        <v>0h 00m</v>
      </c>
      <c r="BY20" s="142"/>
      <c r="BZ20" s="38"/>
      <c r="CA20" s="14"/>
      <c r="CB20" s="11" t="str">
        <f t="shared" si="42"/>
        <v>0h 00m</v>
      </c>
      <c r="CC20" s="56"/>
      <c r="CD20" s="139" t="s">
        <v>71</v>
      </c>
      <c r="CE20" s="136" t="s">
        <v>69</v>
      </c>
      <c r="CF20" s="11" t="str">
        <f>$BX$22</f>
        <v>0h 00m</v>
      </c>
      <c r="CG20" s="32" t="s">
        <v>76</v>
      </c>
      <c r="CH20" s="30">
        <v>0.2902777777777778</v>
      </c>
      <c r="CI20" s="12">
        <v>0.67708333333333337</v>
      </c>
      <c r="CJ20" s="11" t="str">
        <f t="shared" si="33"/>
        <v>9h 17m</v>
      </c>
      <c r="CK20" s="32"/>
      <c r="CL20" s="135" t="s">
        <v>71</v>
      </c>
      <c r="CM20" s="137" t="s">
        <v>69</v>
      </c>
      <c r="CN20" s="11" t="str">
        <f>$CN$21</f>
        <v>0h 00m</v>
      </c>
      <c r="CO20" s="32" t="s">
        <v>82</v>
      </c>
      <c r="CP20" s="30">
        <v>0.29166666666666669</v>
      </c>
      <c r="CQ20" s="12">
        <v>0.68055555555555558</v>
      </c>
      <c r="CR20" s="11" t="str">
        <f t="shared" si="35"/>
        <v>9h 20m</v>
      </c>
      <c r="CS20" s="32"/>
      <c r="CT20" s="30">
        <v>0.30208333333333331</v>
      </c>
      <c r="CU20" s="12">
        <v>0.67708333333333337</v>
      </c>
      <c r="CV20" s="11" t="str">
        <f t="shared" si="36"/>
        <v>9h 00m</v>
      </c>
      <c r="CW20" s="142"/>
      <c r="CX20" s="30">
        <v>0.27430555555555558</v>
      </c>
      <c r="CY20" s="12">
        <v>0.67708333333333337</v>
      </c>
      <c r="CZ20" s="11" t="str">
        <f t="shared" si="40"/>
        <v>9h 40m</v>
      </c>
      <c r="DA20" s="56"/>
      <c r="DB20" s="112">
        <v>0.27430555555555558</v>
      </c>
      <c r="DC20" s="12">
        <v>0.6875</v>
      </c>
      <c r="DD20" s="11" t="str">
        <f t="shared" si="37"/>
        <v>9h 55m</v>
      </c>
      <c r="DE20" s="32"/>
      <c r="DF20" s="38"/>
      <c r="DG20" s="14"/>
      <c r="DH20" s="11" t="str">
        <f t="shared" si="38"/>
        <v>0h 00m</v>
      </c>
      <c r="DI20" s="32"/>
      <c r="DJ20" s="134" t="s">
        <v>71</v>
      </c>
      <c r="DK20" s="136" t="s">
        <v>69</v>
      </c>
      <c r="DL20" s="11" t="str">
        <f>$CV$29</f>
        <v>0h 00m</v>
      </c>
      <c r="DM20" s="32" t="s">
        <v>83</v>
      </c>
      <c r="DN20" s="44"/>
      <c r="DO20" s="44"/>
      <c r="DP20" s="8"/>
    </row>
    <row r="21" spans="1:120" s="74" customFormat="1" ht="15" thickBot="1">
      <c r="A21" s="53" t="s">
        <v>52</v>
      </c>
      <c r="B21" s="173"/>
      <c r="C21" s="174"/>
      <c r="D21" s="66" t="str">
        <f t="shared" si="0"/>
        <v>0h 00m</v>
      </c>
      <c r="E21" s="155"/>
      <c r="F21" s="114"/>
      <c r="G21" s="72"/>
      <c r="H21" s="66" t="str">
        <f t="shared" si="1"/>
        <v>0h 00m</v>
      </c>
      <c r="I21" s="124"/>
      <c r="J21" s="114"/>
      <c r="K21" s="72"/>
      <c r="L21" s="66" t="str">
        <f t="shared" si="17"/>
        <v>0h 00m</v>
      </c>
      <c r="M21" s="67"/>
      <c r="N21" s="71"/>
      <c r="O21" s="72"/>
      <c r="P21" s="66" t="str">
        <f t="shared" si="18"/>
        <v>0h 00m</v>
      </c>
      <c r="Q21" s="191"/>
      <c r="R21" s="173"/>
      <c r="S21" s="204"/>
      <c r="T21" s="66" t="str">
        <f t="shared" si="41"/>
        <v>0h 00m</v>
      </c>
      <c r="U21" s="198"/>
      <c r="V21" s="71"/>
      <c r="W21" s="72"/>
      <c r="X21" s="68" t="str">
        <f t="shared" si="19"/>
        <v>0h 00m</v>
      </c>
      <c r="Y21" s="69"/>
      <c r="Z21" s="213"/>
      <c r="AA21" s="79"/>
      <c r="AB21" s="68" t="str">
        <f t="shared" si="20"/>
        <v>0h 00m</v>
      </c>
      <c r="AC21" s="69"/>
      <c r="AD21" s="78"/>
      <c r="AE21" s="79"/>
      <c r="AF21" s="68" t="str">
        <f t="shared" si="21"/>
        <v>0h 00m</v>
      </c>
      <c r="AG21" s="69"/>
      <c r="AH21" s="70"/>
      <c r="AI21" s="68"/>
      <c r="AJ21" s="68" t="str">
        <f t="shared" si="22"/>
        <v>0h 00m</v>
      </c>
      <c r="AK21" s="69"/>
      <c r="AL21" s="71"/>
      <c r="AM21" s="72"/>
      <c r="AN21" s="68" t="str">
        <f t="shared" si="23"/>
        <v>0h 00m</v>
      </c>
      <c r="AO21" s="69"/>
      <c r="AP21" s="71"/>
      <c r="AQ21" s="72"/>
      <c r="AR21" s="68" t="str">
        <f t="shared" si="24"/>
        <v>0h 00m</v>
      </c>
      <c r="AS21" s="69"/>
      <c r="AT21" s="71"/>
      <c r="AU21" s="72"/>
      <c r="AV21" s="68" t="str">
        <f t="shared" si="25"/>
        <v>0h 00m</v>
      </c>
      <c r="AW21" s="69"/>
      <c r="AX21" s="71"/>
      <c r="AY21" s="72"/>
      <c r="AZ21" s="68" t="str">
        <f t="shared" si="26"/>
        <v>0h 00m</v>
      </c>
      <c r="BA21" s="69"/>
      <c r="BB21" s="71"/>
      <c r="BC21" s="72"/>
      <c r="BD21" s="68" t="str">
        <f t="shared" si="27"/>
        <v>0h 00m</v>
      </c>
      <c r="BE21" s="143"/>
      <c r="BF21" s="71"/>
      <c r="BG21" s="72"/>
      <c r="BH21" s="72" t="str">
        <f t="shared" si="3"/>
        <v>0h 00m</v>
      </c>
      <c r="BI21" s="124"/>
      <c r="BJ21" s="114"/>
      <c r="BK21" s="72"/>
      <c r="BL21" s="68" t="str">
        <f t="shared" si="28"/>
        <v>0h 00m</v>
      </c>
      <c r="BM21" s="69"/>
      <c r="BN21" s="71"/>
      <c r="BO21" s="72"/>
      <c r="BP21" s="68" t="str">
        <f t="shared" si="29"/>
        <v>0h 00m</v>
      </c>
      <c r="BQ21" s="69"/>
      <c r="BR21" s="71"/>
      <c r="BS21" s="72"/>
      <c r="BT21" s="68" t="str">
        <f t="shared" si="30"/>
        <v>0h 00m</v>
      </c>
      <c r="BU21" s="143"/>
      <c r="BV21" s="71"/>
      <c r="BW21" s="72"/>
      <c r="BX21" s="68" t="str">
        <f t="shared" si="31"/>
        <v>0h 00m</v>
      </c>
      <c r="BY21" s="143"/>
      <c r="BZ21" s="71"/>
      <c r="CA21" s="72"/>
      <c r="CB21" s="68" t="str">
        <f t="shared" si="42"/>
        <v>0h 00m</v>
      </c>
      <c r="CC21" s="124"/>
      <c r="CD21" s="114"/>
      <c r="CE21" s="72"/>
      <c r="CF21" s="68" t="str">
        <f t="shared" si="32"/>
        <v>0h 00m</v>
      </c>
      <c r="CG21" s="69"/>
      <c r="CH21" s="71"/>
      <c r="CI21" s="72"/>
      <c r="CJ21" s="68" t="str">
        <f t="shared" si="33"/>
        <v>0h 00m</v>
      </c>
      <c r="CK21" s="69"/>
      <c r="CL21" s="71"/>
      <c r="CM21" s="72"/>
      <c r="CN21" s="68" t="str">
        <f t="shared" si="34"/>
        <v>0h 00m</v>
      </c>
      <c r="CO21" s="69"/>
      <c r="CP21" s="71"/>
      <c r="CQ21" s="72"/>
      <c r="CR21" s="68" t="str">
        <f t="shared" si="35"/>
        <v>0h 00m</v>
      </c>
      <c r="CS21" s="69"/>
      <c r="CT21" s="71"/>
      <c r="CU21" s="72"/>
      <c r="CV21" s="68" t="str">
        <f t="shared" si="36"/>
        <v>0h 00m</v>
      </c>
      <c r="CW21" s="143"/>
      <c r="CX21" s="71"/>
      <c r="CY21" s="72"/>
      <c r="CZ21" s="68" t="str">
        <f t="shared" si="40"/>
        <v>0h 00m</v>
      </c>
      <c r="DA21" s="124"/>
      <c r="DB21" s="114"/>
      <c r="DC21" s="72"/>
      <c r="DD21" s="68" t="str">
        <f t="shared" si="37"/>
        <v>0h 00m</v>
      </c>
      <c r="DE21" s="69"/>
      <c r="DF21" s="71"/>
      <c r="DG21" s="72"/>
      <c r="DH21" s="68" t="str">
        <f t="shared" si="38"/>
        <v>0h 00m</v>
      </c>
      <c r="DI21" s="69"/>
      <c r="DJ21" s="71"/>
      <c r="DK21" s="72"/>
      <c r="DL21" s="68" t="str">
        <f t="shared" si="39"/>
        <v>0h 00m</v>
      </c>
      <c r="DM21" s="69"/>
      <c r="DN21" s="73"/>
      <c r="DO21" s="73"/>
    </row>
    <row r="22" spans="1:120" s="74" customFormat="1" ht="15" thickBot="1">
      <c r="A22" s="53" t="s">
        <v>53</v>
      </c>
      <c r="B22" s="173"/>
      <c r="C22" s="174"/>
      <c r="D22" s="66" t="str">
        <f t="shared" si="0"/>
        <v>0h 00m</v>
      </c>
      <c r="E22" s="155"/>
      <c r="F22" s="114"/>
      <c r="G22" s="72"/>
      <c r="H22" s="66" t="str">
        <f t="shared" si="1"/>
        <v>0h 00m</v>
      </c>
      <c r="I22" s="124"/>
      <c r="J22" s="114"/>
      <c r="K22" s="72"/>
      <c r="L22" s="66" t="str">
        <f t="shared" si="17"/>
        <v>0h 00m</v>
      </c>
      <c r="M22" s="67"/>
      <c r="N22" s="71"/>
      <c r="O22" s="72"/>
      <c r="P22" s="66" t="str">
        <f t="shared" si="18"/>
        <v>0h 00m</v>
      </c>
      <c r="Q22" s="191"/>
      <c r="R22" s="173"/>
      <c r="S22" s="204"/>
      <c r="T22" s="66" t="str">
        <f t="shared" si="41"/>
        <v>0h 00m</v>
      </c>
      <c r="U22" s="198"/>
      <c r="V22" s="71"/>
      <c r="W22" s="72"/>
      <c r="X22" s="68" t="str">
        <f t="shared" si="19"/>
        <v>0h 00m</v>
      </c>
      <c r="Y22" s="69"/>
      <c r="Z22" s="114"/>
      <c r="AA22" s="72"/>
      <c r="AB22" s="68" t="str">
        <f t="shared" si="20"/>
        <v>0h 00m</v>
      </c>
      <c r="AC22" s="69"/>
      <c r="AD22" s="71"/>
      <c r="AE22" s="72"/>
      <c r="AF22" s="68" t="str">
        <f t="shared" si="21"/>
        <v>0h 00m</v>
      </c>
      <c r="AG22" s="69"/>
      <c r="AH22" s="70"/>
      <c r="AI22" s="68"/>
      <c r="AJ22" s="68" t="str">
        <f t="shared" si="22"/>
        <v>0h 00m</v>
      </c>
      <c r="AK22" s="69"/>
      <c r="AL22" s="71"/>
      <c r="AM22" s="72"/>
      <c r="AN22" s="68" t="str">
        <f t="shared" si="23"/>
        <v>0h 00m</v>
      </c>
      <c r="AO22" s="69"/>
      <c r="AP22" s="71"/>
      <c r="AQ22" s="72"/>
      <c r="AR22" s="68" t="str">
        <f t="shared" si="24"/>
        <v>0h 00m</v>
      </c>
      <c r="AS22" s="69"/>
      <c r="AT22" s="71"/>
      <c r="AU22" s="72"/>
      <c r="AV22" s="68" t="str">
        <f t="shared" si="25"/>
        <v>0h 00m</v>
      </c>
      <c r="AW22" s="69"/>
      <c r="AX22" s="71"/>
      <c r="AY22" s="72"/>
      <c r="AZ22" s="68" t="str">
        <f t="shared" si="26"/>
        <v>0h 00m</v>
      </c>
      <c r="BA22" s="69"/>
      <c r="BB22" s="71"/>
      <c r="BC22" s="72"/>
      <c r="BD22" s="68" t="str">
        <f t="shared" si="27"/>
        <v>0h 00m</v>
      </c>
      <c r="BE22" s="143"/>
      <c r="BF22" s="71"/>
      <c r="BG22" s="72"/>
      <c r="BH22" s="72" t="str">
        <f t="shared" si="3"/>
        <v>0h 00m</v>
      </c>
      <c r="BI22" s="124"/>
      <c r="BJ22" s="114"/>
      <c r="BK22" s="72"/>
      <c r="BL22" s="68" t="str">
        <f t="shared" si="28"/>
        <v>0h 00m</v>
      </c>
      <c r="BM22" s="69"/>
      <c r="BN22" s="71"/>
      <c r="BO22" s="72"/>
      <c r="BP22" s="68" t="str">
        <f t="shared" si="29"/>
        <v>0h 00m</v>
      </c>
      <c r="BQ22" s="69"/>
      <c r="BR22" s="71"/>
      <c r="BS22" s="72"/>
      <c r="BT22" s="68" t="str">
        <f t="shared" si="30"/>
        <v>0h 00m</v>
      </c>
      <c r="BU22" s="143"/>
      <c r="BV22" s="71"/>
      <c r="BW22" s="72"/>
      <c r="BX22" s="68" t="str">
        <f t="shared" si="31"/>
        <v>0h 00m</v>
      </c>
      <c r="BY22" s="143"/>
      <c r="BZ22" s="71"/>
      <c r="CA22" s="72"/>
      <c r="CB22" s="68" t="str">
        <f t="shared" si="42"/>
        <v>0h 00m</v>
      </c>
      <c r="CC22" s="124"/>
      <c r="CD22" s="114"/>
      <c r="CE22" s="72"/>
      <c r="CF22" s="68" t="str">
        <f t="shared" si="32"/>
        <v>0h 00m</v>
      </c>
      <c r="CG22" s="69"/>
      <c r="CH22" s="71"/>
      <c r="CI22" s="72"/>
      <c r="CJ22" s="68" t="str">
        <f t="shared" si="33"/>
        <v>0h 00m</v>
      </c>
      <c r="CK22" s="69"/>
      <c r="CL22" s="71"/>
      <c r="CM22" s="72"/>
      <c r="CN22" s="68" t="str">
        <f t="shared" si="34"/>
        <v>0h 00m</v>
      </c>
      <c r="CO22" s="69"/>
      <c r="CP22" s="71"/>
      <c r="CQ22" s="72"/>
      <c r="CR22" s="68" t="str">
        <f t="shared" si="35"/>
        <v>0h 00m</v>
      </c>
      <c r="CS22" s="69"/>
      <c r="CT22" s="71"/>
      <c r="CU22" s="72"/>
      <c r="CV22" s="68" t="str">
        <f t="shared" si="36"/>
        <v>0h 00m</v>
      </c>
      <c r="CW22" s="143"/>
      <c r="CX22" s="71"/>
      <c r="CY22" s="72"/>
      <c r="CZ22" s="68" t="str">
        <f t="shared" si="40"/>
        <v>0h 00m</v>
      </c>
      <c r="DA22" s="124"/>
      <c r="DB22" s="114"/>
      <c r="DC22" s="72"/>
      <c r="DD22" s="68" t="str">
        <f t="shared" si="37"/>
        <v>0h 00m</v>
      </c>
      <c r="DE22" s="69"/>
      <c r="DF22" s="71"/>
      <c r="DG22" s="72"/>
      <c r="DH22" s="68" t="str">
        <f t="shared" si="38"/>
        <v>0h 00m</v>
      </c>
      <c r="DI22" s="69"/>
      <c r="DJ22" s="71"/>
      <c r="DK22" s="72"/>
      <c r="DL22" s="68" t="str">
        <f t="shared" si="39"/>
        <v>0h 00m</v>
      </c>
      <c r="DM22" s="69"/>
      <c r="DN22" s="73"/>
      <c r="DO22" s="73"/>
    </row>
    <row r="23" spans="1:120" ht="15" thickBot="1">
      <c r="A23" s="53" t="s">
        <v>54</v>
      </c>
      <c r="B23" s="171"/>
      <c r="C23" s="172"/>
      <c r="D23" s="10" t="str">
        <f t="shared" si="0"/>
        <v>0h 00m</v>
      </c>
      <c r="E23" s="167"/>
      <c r="F23" s="116"/>
      <c r="G23" s="47"/>
      <c r="H23" s="10" t="str">
        <f t="shared" si="1"/>
        <v>0h 00m</v>
      </c>
      <c r="I23" s="126"/>
      <c r="J23" s="116"/>
      <c r="K23" s="47"/>
      <c r="L23" s="10" t="str">
        <f>$L$22</f>
        <v>0h 00m</v>
      </c>
      <c r="M23" s="32"/>
      <c r="N23" s="30">
        <v>0.27083333333333331</v>
      </c>
      <c r="O23" s="12">
        <v>0.69097222222222221</v>
      </c>
      <c r="P23" s="10" t="str">
        <f t="shared" si="18"/>
        <v>10h 05m</v>
      </c>
      <c r="Q23" s="142"/>
      <c r="R23" s="202" t="s">
        <v>96</v>
      </c>
      <c r="S23" s="203" t="s">
        <v>108</v>
      </c>
      <c r="T23" s="10" t="str">
        <f t="shared" si="41"/>
        <v>9h 18m</v>
      </c>
      <c r="U23" s="56"/>
      <c r="V23" s="132" t="s">
        <v>68</v>
      </c>
      <c r="W23" s="133" t="s">
        <v>69</v>
      </c>
      <c r="X23" s="11" t="str">
        <f>$X$14</f>
        <v>0h 00m</v>
      </c>
      <c r="Y23" s="32" t="s">
        <v>74</v>
      </c>
      <c r="Z23" s="112">
        <v>0.28472222222222221</v>
      </c>
      <c r="AA23" s="12">
        <v>0.68055555555555558</v>
      </c>
      <c r="AB23" s="11" t="str">
        <f>TEXT(AA23-Z23,"h""h ""mm""m""")</f>
        <v>9h 30m</v>
      </c>
      <c r="AC23" s="32"/>
      <c r="AD23" s="30"/>
      <c r="AE23" s="12"/>
      <c r="AF23" s="11" t="str">
        <f t="shared" si="21"/>
        <v>0h 00m</v>
      </c>
      <c r="AG23" s="32"/>
      <c r="AH23" s="36">
        <v>0.29652777777777778</v>
      </c>
      <c r="AI23" s="9">
        <v>0.67777777777777781</v>
      </c>
      <c r="AJ23" s="11" t="str">
        <f t="shared" si="22"/>
        <v>9h 09m</v>
      </c>
      <c r="AK23" s="32"/>
      <c r="AL23" s="30">
        <v>0.28125</v>
      </c>
      <c r="AM23" s="12">
        <v>0.68888888888888888</v>
      </c>
      <c r="AN23" s="11" t="str">
        <f t="shared" si="23"/>
        <v>9h 47m</v>
      </c>
      <c r="AO23" s="32"/>
      <c r="AP23" s="134" t="s">
        <v>71</v>
      </c>
      <c r="AQ23" s="139" t="s">
        <v>69</v>
      </c>
      <c r="AR23" s="11" t="str">
        <f>$BT$21</f>
        <v>0h 00m</v>
      </c>
      <c r="AS23" s="32"/>
      <c r="AT23" s="134" t="s">
        <v>71</v>
      </c>
      <c r="AU23" s="139" t="s">
        <v>69</v>
      </c>
      <c r="AV23" s="11" t="str">
        <f>$BT$21</f>
        <v>0h 00m</v>
      </c>
      <c r="AW23" s="32" t="s">
        <v>79</v>
      </c>
      <c r="AX23" s="30">
        <v>0.2951388888888889</v>
      </c>
      <c r="AY23" s="12">
        <v>0.68263888888888891</v>
      </c>
      <c r="AZ23" s="11" t="str">
        <f t="shared" si="26"/>
        <v>9h 18m</v>
      </c>
      <c r="BA23" s="32"/>
      <c r="BB23" s="30">
        <v>0.2986111111111111</v>
      </c>
      <c r="BC23" s="12">
        <v>0.68055555555555558</v>
      </c>
      <c r="BD23" s="11" t="str">
        <f t="shared" si="27"/>
        <v>9h 10m</v>
      </c>
      <c r="BE23" s="142"/>
      <c r="BF23" s="30">
        <v>0.30208333333333331</v>
      </c>
      <c r="BG23" s="12">
        <v>0.67708333333333337</v>
      </c>
      <c r="BH23" s="14" t="str">
        <f t="shared" si="3"/>
        <v>9h 00m</v>
      </c>
      <c r="BI23" s="56"/>
      <c r="BJ23" s="139" t="s">
        <v>71</v>
      </c>
      <c r="BK23" s="139" t="s">
        <v>69</v>
      </c>
      <c r="BL23" s="11" t="str">
        <f>$BT$21</f>
        <v>0h 00m</v>
      </c>
      <c r="BM23" s="32" t="s">
        <v>77</v>
      </c>
      <c r="BN23" s="30"/>
      <c r="BO23" s="12"/>
      <c r="BP23" s="11" t="str">
        <f t="shared" si="29"/>
        <v>0h 00m</v>
      </c>
      <c r="BQ23" s="32"/>
      <c r="BR23" s="134" t="s">
        <v>71</v>
      </c>
      <c r="BS23" s="139" t="s">
        <v>69</v>
      </c>
      <c r="BT23" s="11" t="str">
        <f>$BT$21</f>
        <v>0h 00m</v>
      </c>
      <c r="BU23" s="142" t="s">
        <v>73</v>
      </c>
      <c r="BV23" s="134" t="s">
        <v>71</v>
      </c>
      <c r="BW23" s="139" t="s">
        <v>69</v>
      </c>
      <c r="BX23" s="11" t="str">
        <f>$BX$22</f>
        <v>0h 00m</v>
      </c>
      <c r="BY23" s="142" t="s">
        <v>72</v>
      </c>
      <c r="BZ23" s="38"/>
      <c r="CA23" s="14"/>
      <c r="CB23" s="11" t="str">
        <f t="shared" si="42"/>
        <v>0h 00m</v>
      </c>
      <c r="CC23" s="56"/>
      <c r="CD23" s="139" t="s">
        <v>71</v>
      </c>
      <c r="CE23" s="136" t="s">
        <v>69</v>
      </c>
      <c r="CF23" s="11" t="str">
        <f>$BX$22</f>
        <v>0h 00m</v>
      </c>
      <c r="CG23" s="32" t="s">
        <v>76</v>
      </c>
      <c r="CH23" s="30">
        <v>0.29166666666666669</v>
      </c>
      <c r="CI23" s="12">
        <v>0.67708333333333337</v>
      </c>
      <c r="CJ23" s="11" t="str">
        <f t="shared" si="33"/>
        <v>9h 15m</v>
      </c>
      <c r="CK23" s="32"/>
      <c r="CL23" s="135" t="s">
        <v>71</v>
      </c>
      <c r="CM23" s="137" t="s">
        <v>69</v>
      </c>
      <c r="CN23" s="11" t="str">
        <f>$CN$21</f>
        <v>0h 00m</v>
      </c>
      <c r="CO23" s="32" t="s">
        <v>82</v>
      </c>
      <c r="CP23" s="30">
        <v>0.28888888888888886</v>
      </c>
      <c r="CQ23" s="12">
        <v>0.67708333333333337</v>
      </c>
      <c r="CR23" s="11" t="str">
        <f t="shared" si="35"/>
        <v>9h 19m</v>
      </c>
      <c r="CS23" s="32"/>
      <c r="CT23" s="30">
        <v>0.30208333333333331</v>
      </c>
      <c r="CU23" s="12">
        <v>0.67708333333333337</v>
      </c>
      <c r="CV23" s="11" t="str">
        <f t="shared" si="36"/>
        <v>9h 00m</v>
      </c>
      <c r="CW23" s="142"/>
      <c r="CX23" s="30">
        <v>0.27430555555555558</v>
      </c>
      <c r="CY23" s="12">
        <v>0.67708333333333337</v>
      </c>
      <c r="CZ23" s="11" t="str">
        <f t="shared" si="40"/>
        <v>9h 40m</v>
      </c>
      <c r="DA23" s="56"/>
      <c r="DB23" s="112">
        <v>0.27430555555555558</v>
      </c>
      <c r="DC23" s="12">
        <v>0.69097222222222221</v>
      </c>
      <c r="DD23" s="11" t="str">
        <f t="shared" si="37"/>
        <v>10h 00m</v>
      </c>
      <c r="DE23" s="32"/>
      <c r="DF23" s="38"/>
      <c r="DG23" s="14"/>
      <c r="DH23" s="11" t="str">
        <f t="shared" si="38"/>
        <v>0h 00m</v>
      </c>
      <c r="DI23" s="32"/>
      <c r="DJ23" s="134" t="s">
        <v>71</v>
      </c>
      <c r="DK23" s="136" t="s">
        <v>69</v>
      </c>
      <c r="DL23" s="11" t="str">
        <f>$CV$29</f>
        <v>0h 00m</v>
      </c>
      <c r="DM23" s="32" t="s">
        <v>83</v>
      </c>
      <c r="DN23" s="45"/>
      <c r="DO23" s="45"/>
      <c r="DP23" s="8"/>
    </row>
    <row r="24" spans="1:120" ht="15" thickBot="1">
      <c r="A24" s="53" t="s">
        <v>55</v>
      </c>
      <c r="B24" s="171"/>
      <c r="C24" s="172"/>
      <c r="D24" s="10" t="str">
        <f t="shared" si="0"/>
        <v>0h 00m</v>
      </c>
      <c r="E24" s="167"/>
      <c r="F24" s="116"/>
      <c r="G24" s="47"/>
      <c r="H24" s="10" t="str">
        <f t="shared" si="1"/>
        <v>0h 00m</v>
      </c>
      <c r="I24" s="126"/>
      <c r="J24" s="116"/>
      <c r="K24" s="47"/>
      <c r="L24" s="10" t="str">
        <f>$L$22</f>
        <v>0h 00m</v>
      </c>
      <c r="M24" s="31"/>
      <c r="N24" s="41">
        <v>0.2951388888888889</v>
      </c>
      <c r="O24" s="16">
        <v>0.68541666666666667</v>
      </c>
      <c r="P24" s="10" t="str">
        <f t="shared" si="18"/>
        <v>9h 22m</v>
      </c>
      <c r="Q24" s="190"/>
      <c r="R24" s="202" t="s">
        <v>98</v>
      </c>
      <c r="S24" s="203" t="s">
        <v>109</v>
      </c>
      <c r="T24" s="10" t="str">
        <f t="shared" si="41"/>
        <v>9h 17m</v>
      </c>
      <c r="U24" s="62"/>
      <c r="V24" s="132" t="s">
        <v>68</v>
      </c>
      <c r="W24" s="133" t="s">
        <v>69</v>
      </c>
      <c r="X24" s="11" t="str">
        <f>$X$14</f>
        <v>0h 00m</v>
      </c>
      <c r="Y24" s="32" t="s">
        <v>74</v>
      </c>
      <c r="Z24" s="112">
        <v>0.28125</v>
      </c>
      <c r="AA24" s="12">
        <v>0.68055555555555558</v>
      </c>
      <c r="AB24" s="11" t="str">
        <f t="shared" si="20"/>
        <v>9h 35m</v>
      </c>
      <c r="AC24" s="32"/>
      <c r="AD24" s="30"/>
      <c r="AE24" s="12"/>
      <c r="AF24" s="11" t="str">
        <f t="shared" si="21"/>
        <v>0h 00m</v>
      </c>
      <c r="AG24" s="32"/>
      <c r="AH24" s="36">
        <v>0.29791666666666666</v>
      </c>
      <c r="AI24" s="9">
        <v>0.69236111111111109</v>
      </c>
      <c r="AJ24" s="11" t="str">
        <f t="shared" si="22"/>
        <v>9h 28m</v>
      </c>
      <c r="AK24" s="32"/>
      <c r="AL24" s="30">
        <v>0.27430555555555558</v>
      </c>
      <c r="AM24" s="12">
        <v>0.70833333333333337</v>
      </c>
      <c r="AN24" s="11" t="str">
        <f t="shared" si="23"/>
        <v>10h 25m</v>
      </c>
      <c r="AO24" s="32"/>
      <c r="AP24" s="134" t="s">
        <v>71</v>
      </c>
      <c r="AQ24" s="139" t="s">
        <v>69</v>
      </c>
      <c r="AR24" s="11" t="str">
        <f>$BT$21</f>
        <v>0h 00m</v>
      </c>
      <c r="AS24" s="32"/>
      <c r="AT24" s="134" t="s">
        <v>71</v>
      </c>
      <c r="AU24" s="139" t="s">
        <v>69</v>
      </c>
      <c r="AV24" s="11" t="str">
        <f>$BT$21</f>
        <v>0h 00m</v>
      </c>
      <c r="AW24" s="32" t="s">
        <v>79</v>
      </c>
      <c r="AX24" s="30">
        <v>0.29375000000000001</v>
      </c>
      <c r="AY24" s="12">
        <v>0.68055555555555558</v>
      </c>
      <c r="AZ24" s="11" t="str">
        <f t="shared" si="26"/>
        <v>9h 17m</v>
      </c>
      <c r="BA24" s="32"/>
      <c r="BB24" s="30">
        <v>0.28819444444444442</v>
      </c>
      <c r="BC24" s="12">
        <v>0.68263888888888891</v>
      </c>
      <c r="BD24" s="11" t="str">
        <f t="shared" si="27"/>
        <v>9h 28m</v>
      </c>
      <c r="BE24" s="142"/>
      <c r="BF24" s="30">
        <v>0.30208333333333331</v>
      </c>
      <c r="BG24" s="12">
        <v>0.67708333333333337</v>
      </c>
      <c r="BH24" s="14" t="str">
        <f t="shared" si="3"/>
        <v>9h 00m</v>
      </c>
      <c r="BI24" s="56"/>
      <c r="BJ24" s="139" t="s">
        <v>71</v>
      </c>
      <c r="BK24" s="139" t="s">
        <v>69</v>
      </c>
      <c r="BL24" s="11" t="str">
        <f>$BT$21</f>
        <v>0h 00m</v>
      </c>
      <c r="BM24" s="32" t="s">
        <v>77</v>
      </c>
      <c r="BN24" s="30"/>
      <c r="BO24" s="12"/>
      <c r="BP24" s="11" t="str">
        <f t="shared" si="29"/>
        <v>0h 00m</v>
      </c>
      <c r="BQ24" s="32"/>
      <c r="BR24" s="134" t="s">
        <v>71</v>
      </c>
      <c r="BS24" s="139" t="s">
        <v>69</v>
      </c>
      <c r="BT24" s="11" t="str">
        <f>$BT$21</f>
        <v>0h 00m</v>
      </c>
      <c r="BU24" s="142" t="s">
        <v>73</v>
      </c>
      <c r="BV24" s="134" t="s">
        <v>71</v>
      </c>
      <c r="BW24" s="139" t="s">
        <v>69</v>
      </c>
      <c r="BX24" s="11" t="str">
        <f>$BX$22</f>
        <v>0h 00m</v>
      </c>
      <c r="BY24" s="142" t="s">
        <v>72</v>
      </c>
      <c r="BZ24" s="38"/>
      <c r="CA24" s="14"/>
      <c r="CB24" s="11" t="str">
        <f t="shared" si="42"/>
        <v>0h 00m</v>
      </c>
      <c r="CC24" s="56"/>
      <c r="CD24" s="139" t="s">
        <v>71</v>
      </c>
      <c r="CE24" s="136" t="s">
        <v>69</v>
      </c>
      <c r="CF24" s="11" t="str">
        <f>$BX$22</f>
        <v>0h 00m</v>
      </c>
      <c r="CG24" s="32" t="s">
        <v>76</v>
      </c>
      <c r="CH24" s="30">
        <v>0.29166666666666669</v>
      </c>
      <c r="CI24" s="12">
        <v>0.67708333333333337</v>
      </c>
      <c r="CJ24" s="11" t="str">
        <f t="shared" si="33"/>
        <v>9h 15m</v>
      </c>
      <c r="CK24" s="32"/>
      <c r="CL24" s="135" t="s">
        <v>71</v>
      </c>
      <c r="CM24" s="137" t="s">
        <v>69</v>
      </c>
      <c r="CN24" s="11" t="str">
        <f>$CN$21</f>
        <v>0h 00m</v>
      </c>
      <c r="CO24" s="32" t="s">
        <v>82</v>
      </c>
      <c r="CP24" s="30">
        <v>0.2902777777777778</v>
      </c>
      <c r="CQ24" s="12">
        <v>0.67708333333333337</v>
      </c>
      <c r="CR24" s="11" t="str">
        <f t="shared" si="35"/>
        <v>9h 17m</v>
      </c>
      <c r="CS24" s="32"/>
      <c r="CT24" s="30">
        <v>0.30208333333333331</v>
      </c>
      <c r="CU24" s="12">
        <v>0.67708333333333337</v>
      </c>
      <c r="CV24" s="11" t="str">
        <f t="shared" si="36"/>
        <v>9h 00m</v>
      </c>
      <c r="CW24" s="142"/>
      <c r="CX24" s="30">
        <v>0.27777777777777779</v>
      </c>
      <c r="CY24" s="12">
        <v>0.67708333333333337</v>
      </c>
      <c r="CZ24" s="11" t="str">
        <f t="shared" si="40"/>
        <v>9h 35m</v>
      </c>
      <c r="DA24" s="56"/>
      <c r="DB24" s="112">
        <v>0.28819444444444442</v>
      </c>
      <c r="DC24" s="12">
        <v>0.69444444444444442</v>
      </c>
      <c r="DD24" s="11" t="str">
        <f t="shared" si="37"/>
        <v>9h 45m</v>
      </c>
      <c r="DE24" s="32"/>
      <c r="DF24" s="134" t="s">
        <v>71</v>
      </c>
      <c r="DG24" s="136" t="s">
        <v>69</v>
      </c>
      <c r="DH24" s="11" t="str">
        <f>$CV$29</f>
        <v>0h 00m</v>
      </c>
      <c r="DI24" s="32" t="s">
        <v>81</v>
      </c>
      <c r="DJ24" s="134" t="s">
        <v>71</v>
      </c>
      <c r="DK24" s="136" t="s">
        <v>69</v>
      </c>
      <c r="DL24" s="11" t="str">
        <f>$CV$29</f>
        <v>0h 00m</v>
      </c>
      <c r="DM24" s="32" t="s">
        <v>83</v>
      </c>
      <c r="DN24" s="44"/>
      <c r="DO24" s="44"/>
      <c r="DP24" s="8"/>
    </row>
    <row r="25" spans="1:120" ht="15" thickBot="1">
      <c r="A25" s="53" t="s">
        <v>56</v>
      </c>
      <c r="B25" s="171"/>
      <c r="C25" s="172"/>
      <c r="D25" s="10" t="str">
        <f t="shared" si="0"/>
        <v>0h 00m</v>
      </c>
      <c r="E25" s="167"/>
      <c r="F25" s="116"/>
      <c r="G25" s="47"/>
      <c r="H25" s="10" t="str">
        <f t="shared" si="1"/>
        <v>0h 00m</v>
      </c>
      <c r="I25" s="126"/>
      <c r="J25" s="116"/>
      <c r="K25" s="47"/>
      <c r="L25" s="10" t="str">
        <f>$L$22</f>
        <v>0h 00m</v>
      </c>
      <c r="M25" s="31"/>
      <c r="N25" s="30">
        <v>0.2986111111111111</v>
      </c>
      <c r="O25" s="12">
        <v>0.62361111111111112</v>
      </c>
      <c r="P25" s="10" t="str">
        <f t="shared" si="18"/>
        <v>7h 48m</v>
      </c>
      <c r="Q25" s="190"/>
      <c r="R25" s="202" t="s">
        <v>110</v>
      </c>
      <c r="S25" s="203" t="s">
        <v>112</v>
      </c>
      <c r="T25" s="10" t="str">
        <f t="shared" si="41"/>
        <v>7h 50m</v>
      </c>
      <c r="U25" s="62"/>
      <c r="V25" s="132" t="s">
        <v>68</v>
      </c>
      <c r="W25" s="133" t="s">
        <v>69</v>
      </c>
      <c r="X25" s="11" t="str">
        <f>$X$14</f>
        <v>0h 00m</v>
      </c>
      <c r="Y25" s="32" t="s">
        <v>74</v>
      </c>
      <c r="Z25" s="112">
        <v>0.28472222222222221</v>
      </c>
      <c r="AA25" s="12">
        <v>0.61458333333333337</v>
      </c>
      <c r="AB25" s="11" t="str">
        <f t="shared" si="20"/>
        <v>7h 55m</v>
      </c>
      <c r="AC25" s="32"/>
      <c r="AD25" s="30"/>
      <c r="AE25" s="12"/>
      <c r="AF25" s="11" t="str">
        <f t="shared" si="21"/>
        <v>0h 00m</v>
      </c>
      <c r="AG25" s="32"/>
      <c r="AH25" s="36">
        <v>0.29652777777777778</v>
      </c>
      <c r="AI25" s="9">
        <v>0.61388888888888893</v>
      </c>
      <c r="AJ25" s="11" t="str">
        <f t="shared" si="22"/>
        <v>7h 37m</v>
      </c>
      <c r="AK25" s="32"/>
      <c r="AL25" s="30">
        <v>0.28125</v>
      </c>
      <c r="AM25" s="12">
        <v>0.61805555555555558</v>
      </c>
      <c r="AN25" s="11" t="str">
        <f t="shared" si="23"/>
        <v>8h 05m</v>
      </c>
      <c r="AO25" s="32"/>
      <c r="AP25" s="134" t="s">
        <v>71</v>
      </c>
      <c r="AQ25" s="139" t="s">
        <v>69</v>
      </c>
      <c r="AR25" s="11" t="str">
        <f>$BT$21</f>
        <v>0h 00m</v>
      </c>
      <c r="AS25" s="32"/>
      <c r="AT25" s="134" t="s">
        <v>71</v>
      </c>
      <c r="AU25" s="139" t="s">
        <v>69</v>
      </c>
      <c r="AV25" s="11" t="str">
        <f>$BT$21</f>
        <v>0h 00m</v>
      </c>
      <c r="AW25" s="32" t="s">
        <v>79</v>
      </c>
      <c r="AX25" s="30">
        <v>0.28819444444444442</v>
      </c>
      <c r="AY25" s="12">
        <v>0.61458333333333337</v>
      </c>
      <c r="AZ25" s="11" t="str">
        <f t="shared" si="26"/>
        <v>7h 50m</v>
      </c>
      <c r="BA25" s="32"/>
      <c r="BB25" s="30">
        <v>0.2951388888888889</v>
      </c>
      <c r="BC25" s="12">
        <v>0.62083333333333335</v>
      </c>
      <c r="BD25" s="11" t="str">
        <f t="shared" si="27"/>
        <v>7h 49m</v>
      </c>
      <c r="BE25" s="142"/>
      <c r="BF25" s="30">
        <v>0.30208333333333331</v>
      </c>
      <c r="BG25" s="12">
        <v>0.59375</v>
      </c>
      <c r="BH25" s="14" t="str">
        <f t="shared" si="3"/>
        <v>7h 00m</v>
      </c>
      <c r="BI25" s="56"/>
      <c r="BJ25" s="139" t="s">
        <v>71</v>
      </c>
      <c r="BK25" s="139" t="s">
        <v>69</v>
      </c>
      <c r="BL25" s="11" t="str">
        <f>$BT$21</f>
        <v>0h 00m</v>
      </c>
      <c r="BM25" s="32" t="s">
        <v>77</v>
      </c>
      <c r="BN25" s="30"/>
      <c r="BO25" s="12"/>
      <c r="BP25" s="11" t="str">
        <f t="shared" si="29"/>
        <v>0h 00m</v>
      </c>
      <c r="BQ25" s="131" t="s">
        <v>78</v>
      </c>
      <c r="BR25" s="134" t="s">
        <v>71</v>
      </c>
      <c r="BS25" s="139" t="s">
        <v>69</v>
      </c>
      <c r="BT25" s="11" t="str">
        <f>$BT$21</f>
        <v>0h 00m</v>
      </c>
      <c r="BU25" s="142" t="s">
        <v>73</v>
      </c>
      <c r="BV25" s="134" t="s">
        <v>71</v>
      </c>
      <c r="BW25" s="139" t="s">
        <v>69</v>
      </c>
      <c r="BX25" s="11" t="str">
        <f>$BX$22</f>
        <v>0h 00m</v>
      </c>
      <c r="BY25" s="142" t="s">
        <v>72</v>
      </c>
      <c r="BZ25" s="38"/>
      <c r="CA25" s="14"/>
      <c r="CB25" s="11" t="str">
        <f t="shared" si="42"/>
        <v>0h 00m</v>
      </c>
      <c r="CC25" s="56"/>
      <c r="CD25" s="139" t="s">
        <v>71</v>
      </c>
      <c r="CE25" s="136" t="s">
        <v>69</v>
      </c>
      <c r="CF25" s="11" t="str">
        <f>$BX$22</f>
        <v>0h 00m</v>
      </c>
      <c r="CG25" s="32" t="s">
        <v>76</v>
      </c>
      <c r="CH25" s="30">
        <v>0.2986111111111111</v>
      </c>
      <c r="CI25" s="12">
        <v>0.61944444444444446</v>
      </c>
      <c r="CJ25" s="11" t="str">
        <f t="shared" si="33"/>
        <v>7h 42m</v>
      </c>
      <c r="CK25" s="32"/>
      <c r="CL25" s="135" t="s">
        <v>71</v>
      </c>
      <c r="CM25" s="137" t="s">
        <v>69</v>
      </c>
      <c r="CN25" s="11" t="str">
        <f>$CN$21</f>
        <v>0h 00m</v>
      </c>
      <c r="CO25" s="32" t="s">
        <v>82</v>
      </c>
      <c r="CP25" s="30">
        <v>0.2986111111111111</v>
      </c>
      <c r="CQ25" s="12">
        <v>0.62013888888888891</v>
      </c>
      <c r="CR25" s="11" t="str">
        <f t="shared" si="35"/>
        <v>7h 43m</v>
      </c>
      <c r="CS25" s="32"/>
      <c r="CT25" s="30">
        <v>0.30138888888888887</v>
      </c>
      <c r="CU25" s="12">
        <v>0.63541666666666663</v>
      </c>
      <c r="CV25" s="11" t="str">
        <f t="shared" si="36"/>
        <v>8h 01m</v>
      </c>
      <c r="CW25" s="142"/>
      <c r="CX25" s="30">
        <v>0.27777777777777779</v>
      </c>
      <c r="CY25" s="12">
        <v>0.625</v>
      </c>
      <c r="CZ25" s="11" t="str">
        <f t="shared" si="40"/>
        <v>8h 20m</v>
      </c>
      <c r="DA25" s="56"/>
      <c r="DB25" s="112">
        <v>0.28472222222222221</v>
      </c>
      <c r="DC25" s="12">
        <v>0.61805555555555558</v>
      </c>
      <c r="DD25" s="11" t="str">
        <f t="shared" si="37"/>
        <v>8h 00m</v>
      </c>
      <c r="DE25" s="32"/>
      <c r="DF25" s="38"/>
      <c r="DG25" s="14"/>
      <c r="DH25" s="11" t="str">
        <f t="shared" si="38"/>
        <v>0h 00m</v>
      </c>
      <c r="DI25" s="32"/>
      <c r="DJ25" s="134" t="s">
        <v>71</v>
      </c>
      <c r="DK25" s="136" t="s">
        <v>69</v>
      </c>
      <c r="DL25" s="11" t="str">
        <f>$CV$29</f>
        <v>0h 00m</v>
      </c>
      <c r="DM25" s="32" t="s">
        <v>83</v>
      </c>
      <c r="DN25" s="44"/>
      <c r="DO25" s="44"/>
      <c r="DP25" s="8"/>
    </row>
    <row r="26" spans="1:120" s="104" customFormat="1" ht="15" thickBot="1">
      <c r="A26" s="53" t="s">
        <v>57</v>
      </c>
      <c r="B26" s="175"/>
      <c r="C26" s="176"/>
      <c r="D26" s="105" t="str">
        <f t="shared" si="0"/>
        <v>0h 00m</v>
      </c>
      <c r="E26" s="156"/>
      <c r="F26" s="115"/>
      <c r="G26" s="98"/>
      <c r="H26" s="105" t="str">
        <f t="shared" si="1"/>
        <v>0h 00m</v>
      </c>
      <c r="I26" s="125"/>
      <c r="J26" s="115"/>
      <c r="K26" s="98"/>
      <c r="L26" s="99" t="str">
        <f t="shared" si="17"/>
        <v>0h 00m</v>
      </c>
      <c r="M26" s="100"/>
      <c r="N26" s="97"/>
      <c r="O26" s="98"/>
      <c r="P26" s="99" t="str">
        <f t="shared" si="18"/>
        <v>0h 00m</v>
      </c>
      <c r="Q26" s="144"/>
      <c r="R26" s="175"/>
      <c r="S26" s="207"/>
      <c r="T26" s="105" t="str">
        <f t="shared" si="41"/>
        <v>0h 00m</v>
      </c>
      <c r="U26" s="185"/>
      <c r="V26" s="97"/>
      <c r="W26" s="98"/>
      <c r="X26" s="99" t="str">
        <f t="shared" si="19"/>
        <v>0h 00m</v>
      </c>
      <c r="Y26" s="100"/>
      <c r="Z26" s="115"/>
      <c r="AA26" s="98"/>
      <c r="AB26" s="99" t="str">
        <f t="shared" si="20"/>
        <v>0h 00m</v>
      </c>
      <c r="AC26" s="100"/>
      <c r="AD26" s="97"/>
      <c r="AE26" s="98"/>
      <c r="AF26" s="99" t="str">
        <f t="shared" si="21"/>
        <v>0h 00m</v>
      </c>
      <c r="AG26" s="100"/>
      <c r="AH26" s="101"/>
      <c r="AI26" s="102"/>
      <c r="AJ26" s="99" t="str">
        <f t="shared" si="22"/>
        <v>0h 00m</v>
      </c>
      <c r="AK26" s="100"/>
      <c r="AL26" s="97"/>
      <c r="AM26" s="98"/>
      <c r="AN26" s="99" t="str">
        <f t="shared" si="23"/>
        <v>0h 00m</v>
      </c>
      <c r="AO26" s="100"/>
      <c r="AP26" s="97"/>
      <c r="AQ26" s="98"/>
      <c r="AR26" s="99" t="str">
        <f t="shared" si="24"/>
        <v>0h 00m</v>
      </c>
      <c r="AS26" s="100"/>
      <c r="AT26" s="97"/>
      <c r="AU26" s="98"/>
      <c r="AV26" s="99" t="str">
        <f t="shared" si="25"/>
        <v>0h 00m</v>
      </c>
      <c r="AW26" s="100"/>
      <c r="AX26" s="97"/>
      <c r="AY26" s="98"/>
      <c r="AZ26" s="99" t="str">
        <f t="shared" si="26"/>
        <v>0h 00m</v>
      </c>
      <c r="BA26" s="100"/>
      <c r="BB26" s="97"/>
      <c r="BC26" s="98"/>
      <c r="BD26" s="99" t="str">
        <f t="shared" si="27"/>
        <v>0h 00m</v>
      </c>
      <c r="BE26" s="144"/>
      <c r="BF26" s="106"/>
      <c r="BG26" s="107"/>
      <c r="BH26" s="107" t="str">
        <f t="shared" si="3"/>
        <v>0h 00m</v>
      </c>
      <c r="BI26" s="185"/>
      <c r="BJ26" s="115"/>
      <c r="BK26" s="98"/>
      <c r="BL26" s="99" t="str">
        <f t="shared" si="28"/>
        <v>0h 00m</v>
      </c>
      <c r="BM26" s="100"/>
      <c r="BN26" s="97"/>
      <c r="BO26" s="98"/>
      <c r="BP26" s="99" t="str">
        <f t="shared" si="29"/>
        <v>0h 00m</v>
      </c>
      <c r="BQ26" s="100"/>
      <c r="BR26" s="97"/>
      <c r="BS26" s="98"/>
      <c r="BT26" s="99" t="str">
        <f t="shared" si="30"/>
        <v>0h 00m</v>
      </c>
      <c r="BU26" s="144"/>
      <c r="BV26" s="97"/>
      <c r="BW26" s="115"/>
      <c r="BX26" s="99" t="str">
        <f t="shared" si="31"/>
        <v>0h 00m</v>
      </c>
      <c r="BY26" s="144"/>
      <c r="BZ26" s="106"/>
      <c r="CA26" s="107"/>
      <c r="CB26" s="99" t="str">
        <f t="shared" si="42"/>
        <v>0h 00m</v>
      </c>
      <c r="CC26" s="185"/>
      <c r="CD26" s="115"/>
      <c r="CE26" s="98"/>
      <c r="CF26" s="99" t="str">
        <f t="shared" si="32"/>
        <v>0h 00m</v>
      </c>
      <c r="CG26" s="100"/>
      <c r="CH26" s="97"/>
      <c r="CI26" s="98"/>
      <c r="CJ26" s="99" t="str">
        <f t="shared" si="33"/>
        <v>0h 00m</v>
      </c>
      <c r="CK26" s="100"/>
      <c r="CL26" s="97"/>
      <c r="CM26" s="98"/>
      <c r="CN26" s="99" t="str">
        <f t="shared" si="34"/>
        <v>0h 00m</v>
      </c>
      <c r="CO26" s="100"/>
      <c r="CP26" s="97"/>
      <c r="CQ26" s="98"/>
      <c r="CR26" s="99" t="str">
        <f t="shared" si="35"/>
        <v>0h 00m</v>
      </c>
      <c r="CS26" s="100"/>
      <c r="CT26" s="97"/>
      <c r="CU26" s="98"/>
      <c r="CV26" s="99" t="str">
        <f t="shared" si="36"/>
        <v>0h 00m</v>
      </c>
      <c r="CW26" s="144"/>
      <c r="CX26" s="106"/>
      <c r="CY26" s="107"/>
      <c r="CZ26" s="99" t="str">
        <f t="shared" si="40"/>
        <v>0h 00m</v>
      </c>
      <c r="DA26" s="185"/>
      <c r="DB26" s="115"/>
      <c r="DC26" s="98"/>
      <c r="DD26" s="99" t="str">
        <f t="shared" si="37"/>
        <v>0h 00m</v>
      </c>
      <c r="DE26" s="100"/>
      <c r="DF26" s="97"/>
      <c r="DG26" s="98"/>
      <c r="DH26" s="99" t="str">
        <f t="shared" si="38"/>
        <v>0h 00m</v>
      </c>
      <c r="DI26" s="100"/>
      <c r="DJ26" s="97"/>
      <c r="DK26" s="98"/>
      <c r="DL26" s="99" t="str">
        <f t="shared" si="39"/>
        <v>0h 00m</v>
      </c>
      <c r="DM26" s="100"/>
      <c r="DN26" s="103"/>
      <c r="DO26" s="103"/>
    </row>
    <row r="27" spans="1:120" s="104" customFormat="1" ht="15" thickBot="1">
      <c r="A27" s="53" t="s">
        <v>58</v>
      </c>
      <c r="B27" s="175"/>
      <c r="C27" s="176"/>
      <c r="D27" s="105" t="str">
        <f t="shared" si="0"/>
        <v>0h 00m</v>
      </c>
      <c r="E27" s="156"/>
      <c r="F27" s="115"/>
      <c r="G27" s="98"/>
      <c r="H27" s="105" t="str">
        <f t="shared" si="1"/>
        <v>0h 00m</v>
      </c>
      <c r="I27" s="125"/>
      <c r="J27" s="115"/>
      <c r="K27" s="98"/>
      <c r="L27" s="99" t="str">
        <f t="shared" si="17"/>
        <v>0h 00m</v>
      </c>
      <c r="M27" s="100"/>
      <c r="N27" s="97"/>
      <c r="O27" s="98"/>
      <c r="P27" s="99" t="str">
        <f t="shared" si="18"/>
        <v>0h 00m</v>
      </c>
      <c r="Q27" s="144"/>
      <c r="R27" s="175"/>
      <c r="S27" s="207"/>
      <c r="T27" s="105" t="str">
        <f t="shared" si="41"/>
        <v>0h 00m</v>
      </c>
      <c r="U27" s="185"/>
      <c r="V27" s="97"/>
      <c r="W27" s="98"/>
      <c r="X27" s="99" t="str">
        <f t="shared" si="19"/>
        <v>0h 00m</v>
      </c>
      <c r="Y27" s="100"/>
      <c r="Z27" s="115"/>
      <c r="AA27" s="98"/>
      <c r="AB27" s="105" t="str">
        <f>$P$21</f>
        <v>0h 00m</v>
      </c>
      <c r="AC27" s="100"/>
      <c r="AD27" s="97"/>
      <c r="AE27" s="98"/>
      <c r="AF27" s="99" t="str">
        <f t="shared" si="21"/>
        <v>0h 00m</v>
      </c>
      <c r="AG27" s="100"/>
      <c r="AH27" s="101"/>
      <c r="AI27" s="102"/>
      <c r="AJ27" s="99" t="str">
        <f t="shared" si="22"/>
        <v>0h 00m</v>
      </c>
      <c r="AK27" s="100"/>
      <c r="AL27" s="97"/>
      <c r="AM27" s="98"/>
      <c r="AN27" s="99" t="str">
        <f t="shared" si="23"/>
        <v>0h 00m</v>
      </c>
      <c r="AO27" s="100"/>
      <c r="AP27" s="97"/>
      <c r="AQ27" s="98"/>
      <c r="AR27" s="99" t="str">
        <f t="shared" si="24"/>
        <v>0h 00m</v>
      </c>
      <c r="AS27" s="100"/>
      <c r="AT27" s="97"/>
      <c r="AU27" s="98"/>
      <c r="AV27" s="99" t="str">
        <f t="shared" si="25"/>
        <v>0h 00m</v>
      </c>
      <c r="AW27" s="100"/>
      <c r="AX27" s="97"/>
      <c r="AY27" s="98"/>
      <c r="AZ27" s="99" t="str">
        <f t="shared" si="26"/>
        <v>0h 00m</v>
      </c>
      <c r="BA27" s="100"/>
      <c r="BB27" s="97"/>
      <c r="BC27" s="98"/>
      <c r="BD27" s="99" t="str">
        <f t="shared" si="27"/>
        <v>0h 00m</v>
      </c>
      <c r="BE27" s="144"/>
      <c r="BF27" s="106"/>
      <c r="BG27" s="107"/>
      <c r="BH27" s="107" t="str">
        <f t="shared" si="3"/>
        <v>0h 00m</v>
      </c>
      <c r="BI27" s="185"/>
      <c r="BJ27" s="115"/>
      <c r="BK27" s="98"/>
      <c r="BL27" s="99" t="str">
        <f t="shared" si="28"/>
        <v>0h 00m</v>
      </c>
      <c r="BM27" s="100"/>
      <c r="BN27" s="97"/>
      <c r="BO27" s="98"/>
      <c r="BP27" s="99" t="str">
        <f t="shared" si="29"/>
        <v>0h 00m</v>
      </c>
      <c r="BQ27" s="100"/>
      <c r="BR27" s="97"/>
      <c r="BS27" s="98"/>
      <c r="BT27" s="99" t="str">
        <f t="shared" si="30"/>
        <v>0h 00m</v>
      </c>
      <c r="BU27" s="144"/>
      <c r="BV27" s="97"/>
      <c r="BW27" s="115"/>
      <c r="BX27" s="99" t="str">
        <f t="shared" si="31"/>
        <v>0h 00m</v>
      </c>
      <c r="BY27" s="144"/>
      <c r="BZ27" s="106"/>
      <c r="CA27" s="107"/>
      <c r="CB27" s="99" t="str">
        <f t="shared" si="42"/>
        <v>0h 00m</v>
      </c>
      <c r="CC27" s="185"/>
      <c r="CD27" s="115"/>
      <c r="CE27" s="98"/>
      <c r="CF27" s="99" t="str">
        <f t="shared" si="32"/>
        <v>0h 00m</v>
      </c>
      <c r="CG27" s="100"/>
      <c r="CH27" s="97"/>
      <c r="CI27" s="98"/>
      <c r="CJ27" s="99" t="str">
        <f t="shared" si="33"/>
        <v>0h 00m</v>
      </c>
      <c r="CK27" s="100"/>
      <c r="CL27" s="97"/>
      <c r="CM27" s="98"/>
      <c r="CN27" s="99" t="str">
        <f t="shared" si="34"/>
        <v>0h 00m</v>
      </c>
      <c r="CO27" s="100"/>
      <c r="CP27" s="97"/>
      <c r="CQ27" s="98"/>
      <c r="CR27" s="99" t="str">
        <f t="shared" si="35"/>
        <v>0h 00m</v>
      </c>
      <c r="CS27" s="100"/>
      <c r="CT27" s="97"/>
      <c r="CU27" s="98"/>
      <c r="CV27" s="99" t="str">
        <f t="shared" si="36"/>
        <v>0h 00m</v>
      </c>
      <c r="CW27" s="144"/>
      <c r="CX27" s="106"/>
      <c r="CY27" s="107"/>
      <c r="CZ27" s="99" t="str">
        <f t="shared" si="40"/>
        <v>0h 00m</v>
      </c>
      <c r="DA27" s="185"/>
      <c r="DB27" s="115"/>
      <c r="DC27" s="98"/>
      <c r="DD27" s="99" t="str">
        <f t="shared" si="37"/>
        <v>0h 00m</v>
      </c>
      <c r="DE27" s="100"/>
      <c r="DF27" s="106"/>
      <c r="DG27" s="107"/>
      <c r="DH27" s="99" t="str">
        <f t="shared" si="38"/>
        <v>0h 00m</v>
      </c>
      <c r="DI27" s="100"/>
      <c r="DJ27" s="97"/>
      <c r="DK27" s="98"/>
      <c r="DL27" s="99" t="str">
        <f t="shared" si="39"/>
        <v>0h 00m</v>
      </c>
      <c r="DM27" s="100"/>
      <c r="DN27" s="103"/>
      <c r="DO27" s="103"/>
    </row>
    <row r="28" spans="1:120" s="74" customFormat="1" ht="15" thickBot="1">
      <c r="A28" s="53" t="s">
        <v>59</v>
      </c>
      <c r="B28" s="173"/>
      <c r="C28" s="174"/>
      <c r="D28" s="66" t="str">
        <f t="shared" si="0"/>
        <v>0h 00m</v>
      </c>
      <c r="E28" s="157"/>
      <c r="F28" s="117"/>
      <c r="G28" s="81"/>
      <c r="H28" s="66" t="str">
        <f t="shared" si="1"/>
        <v>0h 00m</v>
      </c>
      <c r="I28" s="127"/>
      <c r="J28" s="117"/>
      <c r="K28" s="81"/>
      <c r="L28" s="66" t="str">
        <f t="shared" si="17"/>
        <v>0h 00m</v>
      </c>
      <c r="M28" s="67"/>
      <c r="N28" s="80"/>
      <c r="O28" s="81"/>
      <c r="P28" s="66" t="str">
        <f t="shared" si="18"/>
        <v>0h 00m</v>
      </c>
      <c r="Q28" s="191"/>
      <c r="R28" s="173"/>
      <c r="S28" s="204"/>
      <c r="T28" s="66" t="str">
        <f t="shared" si="41"/>
        <v>0h 00m</v>
      </c>
      <c r="U28" s="198"/>
      <c r="V28" s="71"/>
      <c r="W28" s="72"/>
      <c r="X28" s="68" t="str">
        <f t="shared" si="19"/>
        <v>0h 00m</v>
      </c>
      <c r="Y28" s="69"/>
      <c r="Z28" s="117"/>
      <c r="AA28" s="81"/>
      <c r="AB28" s="72" t="str">
        <f t="shared" si="20"/>
        <v>0h 00m</v>
      </c>
      <c r="AC28" s="69"/>
      <c r="AD28" s="71"/>
      <c r="AE28" s="72"/>
      <c r="AF28" s="68" t="str">
        <f t="shared" si="21"/>
        <v>0h 00m</v>
      </c>
      <c r="AG28" s="69"/>
      <c r="AH28" s="70"/>
      <c r="AI28" s="68"/>
      <c r="AJ28" s="68" t="str">
        <f t="shared" si="22"/>
        <v>0h 00m</v>
      </c>
      <c r="AK28" s="69"/>
      <c r="AL28" s="71"/>
      <c r="AM28" s="72"/>
      <c r="AN28" s="68" t="str">
        <f t="shared" si="23"/>
        <v>0h 00m</v>
      </c>
      <c r="AO28" s="69"/>
      <c r="AP28" s="71"/>
      <c r="AQ28" s="72"/>
      <c r="AR28" s="68" t="str">
        <f t="shared" si="24"/>
        <v>0h 00m</v>
      </c>
      <c r="AS28" s="69"/>
      <c r="AT28" s="80"/>
      <c r="AU28" s="81"/>
      <c r="AV28" s="68" t="str">
        <f t="shared" si="25"/>
        <v>0h 00m</v>
      </c>
      <c r="AW28" s="69"/>
      <c r="AX28" s="80"/>
      <c r="AY28" s="81"/>
      <c r="AZ28" s="68" t="str">
        <f t="shared" si="26"/>
        <v>0h 00m</v>
      </c>
      <c r="BA28" s="69"/>
      <c r="BB28" s="80"/>
      <c r="BC28" s="81"/>
      <c r="BD28" s="68" t="str">
        <f t="shared" si="27"/>
        <v>0h 00m</v>
      </c>
      <c r="BE28" s="143"/>
      <c r="BF28" s="71"/>
      <c r="BG28" s="72"/>
      <c r="BH28" s="72" t="str">
        <f t="shared" si="3"/>
        <v>0h 00m</v>
      </c>
      <c r="BI28" s="124"/>
      <c r="BJ28" s="117"/>
      <c r="BK28" s="81"/>
      <c r="BL28" s="68" t="str">
        <f t="shared" si="28"/>
        <v>0h 00m</v>
      </c>
      <c r="BM28" s="69"/>
      <c r="BN28" s="80"/>
      <c r="BO28" s="81"/>
      <c r="BP28" s="68" t="str">
        <f t="shared" si="29"/>
        <v>0h 00m</v>
      </c>
      <c r="BQ28" s="69"/>
      <c r="BR28" s="80"/>
      <c r="BS28" s="81"/>
      <c r="BT28" s="68" t="str">
        <f t="shared" si="30"/>
        <v>0h 00m</v>
      </c>
      <c r="BU28" s="143"/>
      <c r="BV28" s="80"/>
      <c r="BW28" s="117"/>
      <c r="BX28" s="68" t="str">
        <f t="shared" si="31"/>
        <v>0h 00m</v>
      </c>
      <c r="BY28" s="143"/>
      <c r="BZ28" s="71"/>
      <c r="CA28" s="72"/>
      <c r="CB28" s="68" t="str">
        <f t="shared" si="42"/>
        <v>0h 00m</v>
      </c>
      <c r="CC28" s="124"/>
      <c r="CD28" s="117"/>
      <c r="CE28" s="81"/>
      <c r="CF28" s="68" t="str">
        <f t="shared" si="32"/>
        <v>0h 00m</v>
      </c>
      <c r="CG28" s="69"/>
      <c r="CH28" s="71"/>
      <c r="CI28" s="72"/>
      <c r="CJ28" s="68" t="str">
        <f t="shared" si="33"/>
        <v>0h 00m</v>
      </c>
      <c r="CK28" s="69"/>
      <c r="CL28" s="71"/>
      <c r="CM28" s="72"/>
      <c r="CN28" s="68" t="str">
        <f t="shared" si="34"/>
        <v>0h 00m</v>
      </c>
      <c r="CO28" s="69"/>
      <c r="CP28" s="80"/>
      <c r="CQ28" s="81"/>
      <c r="CR28" s="68" t="str">
        <f t="shared" si="35"/>
        <v>0h 00m</v>
      </c>
      <c r="CS28" s="69"/>
      <c r="CT28" s="80"/>
      <c r="CU28" s="81"/>
      <c r="CV28" s="68" t="str">
        <f t="shared" si="36"/>
        <v>0h 00m</v>
      </c>
      <c r="CW28" s="143"/>
      <c r="CX28" s="71"/>
      <c r="CY28" s="72"/>
      <c r="CZ28" s="68" t="str">
        <f t="shared" si="40"/>
        <v>0h 00m</v>
      </c>
      <c r="DA28" s="124"/>
      <c r="DB28" s="117"/>
      <c r="DC28" s="81"/>
      <c r="DD28" s="68" t="str">
        <f t="shared" si="37"/>
        <v>0h 00m</v>
      </c>
      <c r="DE28" s="69"/>
      <c r="DF28" s="80"/>
      <c r="DG28" s="81"/>
      <c r="DH28" s="68" t="str">
        <f t="shared" si="38"/>
        <v>0h 00m</v>
      </c>
      <c r="DI28" s="69"/>
      <c r="DJ28" s="80"/>
      <c r="DK28" s="81"/>
      <c r="DL28" s="68" t="str">
        <f t="shared" si="39"/>
        <v>0h 00m</v>
      </c>
      <c r="DM28" s="69"/>
      <c r="DN28" s="82"/>
      <c r="DO28" s="82"/>
    </row>
    <row r="29" spans="1:120" s="74" customFormat="1" ht="15" thickBot="1">
      <c r="A29" s="53" t="s">
        <v>60</v>
      </c>
      <c r="B29" s="173"/>
      <c r="C29" s="174"/>
      <c r="D29" s="66" t="str">
        <f t="shared" si="0"/>
        <v>0h 00m</v>
      </c>
      <c r="E29" s="157"/>
      <c r="F29" s="117"/>
      <c r="G29" s="81"/>
      <c r="H29" s="66" t="str">
        <f t="shared" si="1"/>
        <v>0h 00m</v>
      </c>
      <c r="I29" s="127"/>
      <c r="J29" s="118"/>
      <c r="K29" s="86"/>
      <c r="L29" s="87" t="str">
        <f>TEXT(K29-J29,"h""h ""mm""m""")</f>
        <v>0h 00m</v>
      </c>
      <c r="M29" s="88"/>
      <c r="N29" s="85"/>
      <c r="O29" s="86"/>
      <c r="P29" s="87" t="str">
        <f>TEXT(O29-N29,"h""h ""mm""m""")</f>
        <v>0h 00m</v>
      </c>
      <c r="Q29" s="193"/>
      <c r="R29" s="173"/>
      <c r="S29" s="204"/>
      <c r="T29" s="66" t="str">
        <f t="shared" si="41"/>
        <v>0h 00m</v>
      </c>
      <c r="U29" s="198"/>
      <c r="V29" s="89"/>
      <c r="W29" s="90"/>
      <c r="X29" s="72" t="str">
        <f>TEXT(W29-V29,"h""h ""mm""m""")</f>
        <v>0h 00m</v>
      </c>
      <c r="Y29" s="91"/>
      <c r="Z29" s="118"/>
      <c r="AA29" s="86"/>
      <c r="AB29" s="72" t="str">
        <f>TEXT(AA29-Z29,"h""h ""mm""m""")</f>
        <v>0h 00m</v>
      </c>
      <c r="AC29" s="91"/>
      <c r="AD29" s="89"/>
      <c r="AE29" s="90"/>
      <c r="AF29" s="72" t="str">
        <f>TEXT(AE29-AD29,"h""h ""mm""m""")</f>
        <v>0h 00m</v>
      </c>
      <c r="AG29" s="91"/>
      <c r="AH29" s="92"/>
      <c r="AI29" s="93"/>
      <c r="AJ29" s="72" t="str">
        <f>TEXT(AI29-AH29,"h""h ""mm""m""")</f>
        <v>0h 00m</v>
      </c>
      <c r="AK29" s="91"/>
      <c r="AL29" s="89"/>
      <c r="AM29" s="90"/>
      <c r="AN29" s="72" t="str">
        <f>TEXT(AM29-AL29,"h""h ""mm""m""")</f>
        <v>0h 00m</v>
      </c>
      <c r="AO29" s="91"/>
      <c r="AP29" s="89"/>
      <c r="AQ29" s="90"/>
      <c r="AR29" s="72" t="str">
        <f>TEXT(AQ29-AP29,"h""h ""mm""m""")</f>
        <v>0h 00m</v>
      </c>
      <c r="AS29" s="91"/>
      <c r="AT29" s="85"/>
      <c r="AU29" s="86"/>
      <c r="AV29" s="72" t="str">
        <f>TEXT(AU29-AT29,"h""h ""mm""m""")</f>
        <v>0h 00m</v>
      </c>
      <c r="AW29" s="91"/>
      <c r="AX29" s="85"/>
      <c r="AY29" s="86"/>
      <c r="AZ29" s="72" t="str">
        <f>TEXT(AY29-AX29,"h""h ""mm""m""")</f>
        <v>0h 00m</v>
      </c>
      <c r="BA29" s="91"/>
      <c r="BB29" s="85"/>
      <c r="BC29" s="86"/>
      <c r="BD29" s="72" t="str">
        <f>TEXT(BC29-BB29,"h""h ""mm""m""")</f>
        <v>0h 00m</v>
      </c>
      <c r="BE29" s="145"/>
      <c r="BF29" s="71"/>
      <c r="BG29" s="72"/>
      <c r="BH29" s="72" t="str">
        <f t="shared" si="3"/>
        <v>0h 00m</v>
      </c>
      <c r="BI29" s="124"/>
      <c r="BJ29" s="118"/>
      <c r="BK29" s="86"/>
      <c r="BL29" s="72" t="str">
        <f>TEXT(BK29-BJ29,"h""h ""mm""m""")</f>
        <v>0h 00m</v>
      </c>
      <c r="BM29" s="91"/>
      <c r="BN29" s="85"/>
      <c r="BO29" s="86"/>
      <c r="BP29" s="72" t="str">
        <f>TEXT(BO29-BN29,"h""h ""mm""m""")</f>
        <v>0h 00m</v>
      </c>
      <c r="BQ29" s="94"/>
      <c r="BR29" s="85"/>
      <c r="BS29" s="86"/>
      <c r="BT29" s="72" t="str">
        <f>TEXT(BS29-BR29,"h""h ""mm""m""")</f>
        <v>0h 00m</v>
      </c>
      <c r="BU29" s="145"/>
      <c r="BV29" s="85"/>
      <c r="BW29" s="118"/>
      <c r="BX29" s="72" t="str">
        <f>TEXT(BW29-BV29,"h""h ""mm""m""")</f>
        <v>0h 00m</v>
      </c>
      <c r="BY29" s="145"/>
      <c r="BZ29" s="71"/>
      <c r="CA29" s="72"/>
      <c r="CB29" s="68" t="str">
        <f t="shared" si="42"/>
        <v>0h 00m</v>
      </c>
      <c r="CC29" s="124"/>
      <c r="CD29" s="118"/>
      <c r="CE29" s="86"/>
      <c r="CF29" s="72" t="str">
        <f>TEXT(CE29-CD29,"h""h ""mm""m""")</f>
        <v>0h 00m</v>
      </c>
      <c r="CG29" s="91"/>
      <c r="CH29" s="89"/>
      <c r="CI29" s="90"/>
      <c r="CJ29" s="72" t="str">
        <f>TEXT(CI29-CH29,"h""h ""mm""m""")</f>
        <v>0h 00m</v>
      </c>
      <c r="CK29" s="91"/>
      <c r="CL29" s="89"/>
      <c r="CM29" s="90"/>
      <c r="CN29" s="72" t="str">
        <f>TEXT(CM29-CL29,"h""h ""mm""m""")</f>
        <v>0h 00m</v>
      </c>
      <c r="CO29" s="91"/>
      <c r="CP29" s="89"/>
      <c r="CQ29" s="90"/>
      <c r="CR29" s="72" t="str">
        <f>TEXT(CQ29-CP29,"h""h ""mm""m""")</f>
        <v>0h 00m</v>
      </c>
      <c r="CS29" s="91"/>
      <c r="CT29" s="85"/>
      <c r="CU29" s="86"/>
      <c r="CV29" s="72" t="str">
        <f>TEXT(CU29-CT29,"h""h ""mm""m""")</f>
        <v>0h 00m</v>
      </c>
      <c r="CW29" s="145"/>
      <c r="CX29" s="71"/>
      <c r="CY29" s="72"/>
      <c r="CZ29" s="68" t="str">
        <f t="shared" si="40"/>
        <v>0h 00m</v>
      </c>
      <c r="DA29" s="124"/>
      <c r="DB29" s="118"/>
      <c r="DC29" s="86"/>
      <c r="DD29" s="72" t="str">
        <f>TEXT(DC29-DB29,"h""h ""mm""m""")</f>
        <v>0h 00m</v>
      </c>
      <c r="DE29" s="91"/>
      <c r="DF29" s="85"/>
      <c r="DG29" s="86"/>
      <c r="DH29" s="72" t="str">
        <f>TEXT(DG29-DF29,"h""h ""mm""m""")</f>
        <v>0h 00m</v>
      </c>
      <c r="DI29" s="91"/>
      <c r="DJ29" s="85"/>
      <c r="DK29" s="86"/>
      <c r="DL29" s="72" t="str">
        <f>TEXT(DK29-DJ29,"h""h ""mm""m""")</f>
        <v>0h 00m</v>
      </c>
      <c r="DM29" s="91"/>
      <c r="DN29" s="95"/>
      <c r="DO29" s="95"/>
    </row>
    <row r="30" spans="1:120" s="48" customFormat="1" ht="15" thickBot="1">
      <c r="A30" s="109" t="s">
        <v>61</v>
      </c>
      <c r="B30" s="171"/>
      <c r="C30" s="172"/>
      <c r="D30" s="10" t="str">
        <f t="shared" si="0"/>
        <v>0h 00m</v>
      </c>
      <c r="E30" s="167"/>
      <c r="F30" s="119"/>
      <c r="G30" s="50"/>
      <c r="H30" s="10" t="str">
        <f t="shared" si="1"/>
        <v>0h 00m</v>
      </c>
      <c r="I30" s="60"/>
      <c r="J30" s="119"/>
      <c r="K30" s="50"/>
      <c r="L30" s="54" t="str">
        <f t="shared" si="17"/>
        <v>0h 00m</v>
      </c>
      <c r="M30" s="62"/>
      <c r="N30" s="202" t="s">
        <v>114</v>
      </c>
      <c r="O30" s="203" t="s">
        <v>119</v>
      </c>
      <c r="P30" s="54" t="str">
        <f t="shared" si="18"/>
        <v>9h 09m</v>
      </c>
      <c r="Q30" s="194"/>
      <c r="R30" s="202"/>
      <c r="S30" s="203"/>
      <c r="T30" s="10" t="str">
        <f t="shared" si="41"/>
        <v>0h 00m</v>
      </c>
      <c r="U30" s="62"/>
      <c r="V30" s="132" t="s">
        <v>68</v>
      </c>
      <c r="W30" s="133" t="s">
        <v>69</v>
      </c>
      <c r="X30" s="14" t="str">
        <f>$X$14</f>
        <v>0h 00m</v>
      </c>
      <c r="Y30" s="56" t="s">
        <v>74</v>
      </c>
      <c r="Z30" s="212" t="s">
        <v>101</v>
      </c>
      <c r="AA30" s="203" t="s">
        <v>109</v>
      </c>
      <c r="AB30" s="14" t="str">
        <f t="shared" si="20"/>
        <v>9h 30m</v>
      </c>
      <c r="AC30" s="56"/>
      <c r="AD30" s="38"/>
      <c r="AE30" s="14"/>
      <c r="AF30" s="14" t="str">
        <f t="shared" ref="AF30:AF32" si="43">TEXT(AE30-AD30,"h""h ""mm""m""")</f>
        <v>0h 00m</v>
      </c>
      <c r="AG30" s="56"/>
      <c r="AH30" s="30">
        <v>0.29652777777777778</v>
      </c>
      <c r="AI30" s="12">
        <v>0.67777777777777781</v>
      </c>
      <c r="AJ30" s="14" t="str">
        <f t="shared" ref="AJ30:AJ32" si="44">TEXT(AI30-AH30,"h""h ""mm""m""")</f>
        <v>9h 09m</v>
      </c>
      <c r="AK30" s="56"/>
      <c r="AL30" s="30">
        <v>0.27430555555555558</v>
      </c>
      <c r="AM30" s="12">
        <v>0.6875</v>
      </c>
      <c r="AN30" s="14" t="str">
        <f t="shared" ref="AN30:AN32" si="45">TEXT(AM30-AL30,"h""h ""mm""m""")</f>
        <v>9h 55m</v>
      </c>
      <c r="AO30" s="56"/>
      <c r="AP30" s="134" t="s">
        <v>71</v>
      </c>
      <c r="AQ30" s="139" t="s">
        <v>69</v>
      </c>
      <c r="AR30" s="14" t="str">
        <f>$BT$21</f>
        <v>0h 00m</v>
      </c>
      <c r="AS30" s="56"/>
      <c r="AT30" s="134" t="s">
        <v>71</v>
      </c>
      <c r="AU30" s="139" t="s">
        <v>69</v>
      </c>
      <c r="AV30" s="14" t="str">
        <f>$BT$21</f>
        <v>0h 00m</v>
      </c>
      <c r="AW30" s="56" t="s">
        <v>79</v>
      </c>
      <c r="AX30" s="202" t="s">
        <v>113</v>
      </c>
      <c r="AY30" s="203" t="s">
        <v>117</v>
      </c>
      <c r="AZ30" s="14" t="str">
        <f t="shared" ref="AZ30:AZ32" si="46">TEXT(AY30-AX30,"h""h ""mm""m""")</f>
        <v>9h 09m</v>
      </c>
      <c r="BA30" s="56"/>
      <c r="BB30" s="202" t="s">
        <v>111</v>
      </c>
      <c r="BC30" s="203" t="s">
        <v>106</v>
      </c>
      <c r="BD30" s="14" t="str">
        <f t="shared" ref="BD30:BD32" si="47">TEXT(BC30-BB30,"h""h ""mm""m""")</f>
        <v>9h 05m</v>
      </c>
      <c r="BE30" s="146"/>
      <c r="BF30" s="38"/>
      <c r="BG30" s="14"/>
      <c r="BH30" s="14" t="str">
        <f t="shared" si="3"/>
        <v>0h 00m</v>
      </c>
      <c r="BI30" s="56"/>
      <c r="BJ30" s="139" t="s">
        <v>71</v>
      </c>
      <c r="BK30" s="139" t="s">
        <v>69</v>
      </c>
      <c r="BL30" s="14" t="str">
        <f>$BT$21</f>
        <v>0h 00m</v>
      </c>
      <c r="BM30" s="56" t="s">
        <v>77</v>
      </c>
      <c r="BN30" s="49"/>
      <c r="BO30" s="50"/>
      <c r="BP30" s="14" t="str">
        <f t="shared" ref="BP30:BP32" si="48">TEXT(BO30-BN30,"h""h ""mm""m""")</f>
        <v>0h 00m</v>
      </c>
      <c r="BQ30" s="60"/>
      <c r="BR30" s="134" t="s">
        <v>71</v>
      </c>
      <c r="BS30" s="139" t="s">
        <v>69</v>
      </c>
      <c r="BT30" s="14" t="str">
        <f>$BT$21</f>
        <v>0h 00m</v>
      </c>
      <c r="BU30" s="146" t="s">
        <v>73</v>
      </c>
      <c r="BV30" s="134" t="s">
        <v>71</v>
      </c>
      <c r="BW30" s="139" t="s">
        <v>69</v>
      </c>
      <c r="BX30" s="14" t="str">
        <f>$BX$22</f>
        <v>0h 00m</v>
      </c>
      <c r="BY30" s="146" t="s">
        <v>72</v>
      </c>
      <c r="BZ30" s="38"/>
      <c r="CA30" s="14"/>
      <c r="CB30" s="11" t="str">
        <f t="shared" si="42"/>
        <v>0h 00m</v>
      </c>
      <c r="CC30" s="56"/>
      <c r="CD30" s="140" t="s">
        <v>71</v>
      </c>
      <c r="CE30" s="137" t="s">
        <v>69</v>
      </c>
      <c r="CF30" s="14" t="str">
        <f>$BX$22</f>
        <v>0h 00m</v>
      </c>
      <c r="CG30" s="56" t="s">
        <v>76</v>
      </c>
      <c r="CH30" s="30">
        <v>0.29166666666666669</v>
      </c>
      <c r="CI30" s="12">
        <v>0.67708333333333337</v>
      </c>
      <c r="CJ30" s="14" t="str">
        <f t="shared" si="33"/>
        <v>9h 15m</v>
      </c>
      <c r="CK30" s="56"/>
      <c r="CL30" s="135" t="s">
        <v>71</v>
      </c>
      <c r="CM30" s="137" t="s">
        <v>69</v>
      </c>
      <c r="CN30" s="14" t="str">
        <f>$CN$21</f>
        <v>0h 00m</v>
      </c>
      <c r="CO30" s="56" t="s">
        <v>82</v>
      </c>
      <c r="CP30" s="135" t="s">
        <v>71</v>
      </c>
      <c r="CQ30" s="137" t="s">
        <v>69</v>
      </c>
      <c r="CR30" s="14" t="str">
        <f>$CN$21</f>
        <v>0h 00m</v>
      </c>
      <c r="CS30" s="56" t="s">
        <v>80</v>
      </c>
      <c r="CT30" s="135" t="s">
        <v>71</v>
      </c>
      <c r="CU30" s="137" t="s">
        <v>69</v>
      </c>
      <c r="CV30" s="14" t="str">
        <f>$CV$29</f>
        <v>0h 00m</v>
      </c>
      <c r="CW30" s="146" t="s">
        <v>75</v>
      </c>
      <c r="CX30" s="30">
        <v>0.27777777777777779</v>
      </c>
      <c r="CY30" s="12">
        <v>0.67708333333333337</v>
      </c>
      <c r="CZ30" s="11" t="str">
        <f t="shared" si="40"/>
        <v>9h 35m</v>
      </c>
      <c r="DA30" s="56"/>
      <c r="DB30" s="212" t="s">
        <v>101</v>
      </c>
      <c r="DC30" s="203" t="s">
        <v>109</v>
      </c>
      <c r="DD30" s="14" t="str">
        <f t="shared" ref="DD30:DD32" si="49">TEXT(DC30-DB30,"h""h ""mm""m""")</f>
        <v>9h 30m</v>
      </c>
      <c r="DE30" s="56"/>
      <c r="DF30" s="49"/>
      <c r="DG30" s="50"/>
      <c r="DH30" s="14" t="str">
        <f t="shared" ref="DH30:DH32" si="50">TEXT(DG30-DF30,"h""h ""mm""m""")</f>
        <v>0h 00m</v>
      </c>
      <c r="DI30" s="56"/>
      <c r="DJ30" s="134" t="s">
        <v>71</v>
      </c>
      <c r="DK30" s="136" t="s">
        <v>69</v>
      </c>
      <c r="DL30" s="14" t="str">
        <f>$CV$29</f>
        <v>0h 00m</v>
      </c>
      <c r="DM30" s="56" t="s">
        <v>83</v>
      </c>
      <c r="DN30" s="45"/>
      <c r="DO30" s="45"/>
    </row>
    <row r="31" spans="1:120" s="48" customFormat="1" ht="15" thickBot="1">
      <c r="A31" s="109" t="s">
        <v>62</v>
      </c>
      <c r="B31" s="171"/>
      <c r="C31" s="172"/>
      <c r="D31" s="10" t="str">
        <f t="shared" si="0"/>
        <v>0h 00m</v>
      </c>
      <c r="E31" s="167"/>
      <c r="F31" s="119"/>
      <c r="G31" s="50"/>
      <c r="H31" s="10" t="str">
        <f t="shared" si="1"/>
        <v>0h 00m</v>
      </c>
      <c r="I31" s="60"/>
      <c r="J31" s="119"/>
      <c r="K31" s="50"/>
      <c r="L31" s="54" t="str">
        <f t="shared" si="17"/>
        <v>0h 00m</v>
      </c>
      <c r="M31" s="62"/>
      <c r="N31" s="202" t="s">
        <v>85</v>
      </c>
      <c r="O31" s="203" t="s">
        <v>120</v>
      </c>
      <c r="P31" s="54" t="str">
        <f t="shared" si="18"/>
        <v>9h 13m</v>
      </c>
      <c r="Q31" s="194"/>
      <c r="R31" s="202"/>
      <c r="S31" s="203"/>
      <c r="T31" s="10" t="str">
        <f t="shared" si="41"/>
        <v>0h 00m</v>
      </c>
      <c r="U31" s="62"/>
      <c r="V31" s="132" t="s">
        <v>68</v>
      </c>
      <c r="W31" s="133" t="s">
        <v>69</v>
      </c>
      <c r="X31" s="14" t="str">
        <f>$X$14</f>
        <v>0h 00m</v>
      </c>
      <c r="Y31" s="32" t="s">
        <v>74</v>
      </c>
      <c r="Z31" s="212"/>
      <c r="AA31" s="203"/>
      <c r="AB31" s="14" t="str">
        <f t="shared" si="20"/>
        <v>0h 00m</v>
      </c>
      <c r="AC31" s="56"/>
      <c r="AD31" s="38"/>
      <c r="AE31" s="14"/>
      <c r="AF31" s="14" t="str">
        <f t="shared" si="43"/>
        <v>0h 00m</v>
      </c>
      <c r="AG31" s="56"/>
      <c r="AH31" s="30">
        <v>0.2986111111111111</v>
      </c>
      <c r="AI31" s="12">
        <v>0.68055555555555558</v>
      </c>
      <c r="AJ31" s="14" t="str">
        <f t="shared" si="44"/>
        <v>9h 10m</v>
      </c>
      <c r="AK31" s="56"/>
      <c r="AL31" s="30">
        <v>0.28125</v>
      </c>
      <c r="AM31" s="12">
        <v>0.6875</v>
      </c>
      <c r="AN31" s="14" t="str">
        <f t="shared" si="45"/>
        <v>9h 45m</v>
      </c>
      <c r="AO31" s="56"/>
      <c r="AP31" s="134" t="s">
        <v>71</v>
      </c>
      <c r="AQ31" s="139" t="s">
        <v>69</v>
      </c>
      <c r="AR31" s="14" t="str">
        <f>$BT$21</f>
        <v>0h 00m</v>
      </c>
      <c r="AS31" s="56"/>
      <c r="AT31" s="134" t="s">
        <v>71</v>
      </c>
      <c r="AU31" s="139" t="s">
        <v>69</v>
      </c>
      <c r="AV31" s="14" t="str">
        <f>$BT$21</f>
        <v>0h 00m</v>
      </c>
      <c r="AW31" s="32" t="s">
        <v>79</v>
      </c>
      <c r="AX31" s="202" t="s">
        <v>118</v>
      </c>
      <c r="AY31" s="203" t="s">
        <v>120</v>
      </c>
      <c r="AZ31" s="14" t="str">
        <f t="shared" si="46"/>
        <v>9h 26m</v>
      </c>
      <c r="BA31" s="56"/>
      <c r="BB31" s="202" t="s">
        <v>116</v>
      </c>
      <c r="BC31" s="203" t="s">
        <v>120</v>
      </c>
      <c r="BD31" s="14" t="str">
        <f t="shared" si="47"/>
        <v>10h 18m</v>
      </c>
      <c r="BE31" s="146"/>
      <c r="BF31" s="38"/>
      <c r="BG31" s="14"/>
      <c r="BH31" s="14" t="str">
        <f t="shared" ref="BH31:BH32" si="51">TEXT(BG31-BF31,"h""h ""mm""m""")</f>
        <v>0h 00m</v>
      </c>
      <c r="BI31" s="56"/>
      <c r="BJ31" s="139" t="s">
        <v>71</v>
      </c>
      <c r="BK31" s="139" t="s">
        <v>69</v>
      </c>
      <c r="BL31" s="14" t="str">
        <f>$BT$21</f>
        <v>0h 00m</v>
      </c>
      <c r="BM31" s="32" t="s">
        <v>77</v>
      </c>
      <c r="BN31" s="49"/>
      <c r="BO31" s="50"/>
      <c r="BP31" s="14" t="str">
        <f t="shared" si="48"/>
        <v>0h 00m</v>
      </c>
      <c r="BQ31" s="60"/>
      <c r="BR31" s="134" t="s">
        <v>71</v>
      </c>
      <c r="BS31" s="139" t="s">
        <v>69</v>
      </c>
      <c r="BT31" s="14" t="str">
        <f>$BT$21</f>
        <v>0h 00m</v>
      </c>
      <c r="BU31" s="142" t="s">
        <v>73</v>
      </c>
      <c r="BV31" s="134" t="s">
        <v>71</v>
      </c>
      <c r="BW31" s="139" t="s">
        <v>69</v>
      </c>
      <c r="BX31" s="14" t="str">
        <f>$BX$22</f>
        <v>0h 00m</v>
      </c>
      <c r="BY31" s="142" t="s">
        <v>72</v>
      </c>
      <c r="BZ31" s="38"/>
      <c r="CA31" s="14"/>
      <c r="CB31" s="11" t="str">
        <f t="shared" si="42"/>
        <v>0h 00m</v>
      </c>
      <c r="CC31" s="56"/>
      <c r="CD31" s="140" t="s">
        <v>71</v>
      </c>
      <c r="CE31" s="137" t="s">
        <v>69</v>
      </c>
      <c r="CF31" s="14" t="str">
        <f>$BX$22</f>
        <v>0h 00m</v>
      </c>
      <c r="CG31" s="32" t="s">
        <v>76</v>
      </c>
      <c r="CH31" s="30">
        <v>0.3</v>
      </c>
      <c r="CI31" s="12">
        <v>0.67708333333333337</v>
      </c>
      <c r="CJ31" s="14" t="str">
        <f t="shared" si="33"/>
        <v>9h 03m</v>
      </c>
      <c r="CK31" s="56"/>
      <c r="CL31" s="135" t="s">
        <v>71</v>
      </c>
      <c r="CM31" s="137" t="s">
        <v>69</v>
      </c>
      <c r="CN31" s="14" t="str">
        <f>$CN$21</f>
        <v>0h 00m</v>
      </c>
      <c r="CO31" s="32" t="s">
        <v>82</v>
      </c>
      <c r="CP31" s="135" t="s">
        <v>71</v>
      </c>
      <c r="CQ31" s="137" t="s">
        <v>69</v>
      </c>
      <c r="CR31" s="14" t="str">
        <f>$CN$21</f>
        <v>0h 00m</v>
      </c>
      <c r="CS31" s="56" t="s">
        <v>80</v>
      </c>
      <c r="CT31" s="135" t="s">
        <v>71</v>
      </c>
      <c r="CU31" s="137" t="s">
        <v>69</v>
      </c>
      <c r="CV31" s="14" t="str">
        <f>$CV$29</f>
        <v>0h 00m</v>
      </c>
      <c r="CW31" s="146" t="s">
        <v>75</v>
      </c>
      <c r="CX31" s="30">
        <v>0.27777777777777779</v>
      </c>
      <c r="CY31" s="12">
        <v>0.67708333333333337</v>
      </c>
      <c r="CZ31" s="11" t="str">
        <f t="shared" si="40"/>
        <v>9h 35m</v>
      </c>
      <c r="DA31" s="56"/>
      <c r="DB31" s="212" t="s">
        <v>110</v>
      </c>
      <c r="DC31" s="203" t="s">
        <v>121</v>
      </c>
      <c r="DD31" s="14" t="str">
        <f t="shared" si="49"/>
        <v>9h 40m</v>
      </c>
      <c r="DE31" s="56"/>
      <c r="DF31" s="135" t="s">
        <v>71</v>
      </c>
      <c r="DG31" s="137" t="s">
        <v>69</v>
      </c>
      <c r="DH31" s="14" t="str">
        <f>$CV$29</f>
        <v>0h 00m</v>
      </c>
      <c r="DI31" s="32" t="s">
        <v>81</v>
      </c>
      <c r="DJ31" s="134" t="s">
        <v>71</v>
      </c>
      <c r="DK31" s="136" t="s">
        <v>69</v>
      </c>
      <c r="DL31" s="14" t="str">
        <f>$CV$29</f>
        <v>0h 00m</v>
      </c>
      <c r="DM31" s="32" t="s">
        <v>83</v>
      </c>
      <c r="DN31" s="45"/>
      <c r="DO31" s="45"/>
    </row>
    <row r="32" spans="1:120" ht="15" thickBot="1">
      <c r="A32" s="110" t="s">
        <v>63</v>
      </c>
      <c r="B32" s="177"/>
      <c r="C32" s="178"/>
      <c r="D32" s="159" t="str">
        <f t="shared" si="0"/>
        <v>0h 00m</v>
      </c>
      <c r="E32" s="168"/>
      <c r="F32" s="120"/>
      <c r="G32" s="58"/>
      <c r="H32" s="51" t="str">
        <f t="shared" si="1"/>
        <v>0h 00m</v>
      </c>
      <c r="I32" s="59"/>
      <c r="J32" s="120"/>
      <c r="K32" s="58"/>
      <c r="L32" s="63" t="str">
        <f t="shared" si="17"/>
        <v>0h 00m</v>
      </c>
      <c r="M32" s="59"/>
      <c r="N32" s="208" t="s">
        <v>85</v>
      </c>
      <c r="O32" s="209" t="s">
        <v>125</v>
      </c>
      <c r="P32" s="51" t="str">
        <f t="shared" si="18"/>
        <v>8h 49m</v>
      </c>
      <c r="Q32" s="195"/>
      <c r="R32" s="208"/>
      <c r="S32" s="209"/>
      <c r="T32" s="51" t="str">
        <f t="shared" si="41"/>
        <v>0h 00m</v>
      </c>
      <c r="U32" s="61"/>
      <c r="V32" s="214" t="s">
        <v>68</v>
      </c>
      <c r="W32" s="215" t="s">
        <v>69</v>
      </c>
      <c r="X32" s="52" t="str">
        <f>$X$14</f>
        <v>0h 00m</v>
      </c>
      <c r="Y32" s="151" t="s">
        <v>74</v>
      </c>
      <c r="Z32" s="216"/>
      <c r="AA32" s="209"/>
      <c r="AB32" s="52" t="str">
        <f t="shared" si="20"/>
        <v>0h 00m</v>
      </c>
      <c r="AC32" s="59"/>
      <c r="AD32" s="57"/>
      <c r="AE32" s="58"/>
      <c r="AF32" s="52" t="str">
        <f t="shared" si="43"/>
        <v>0h 00m</v>
      </c>
      <c r="AG32" s="59"/>
      <c r="AH32" s="219">
        <v>0.29930555555555555</v>
      </c>
      <c r="AI32" s="221">
        <v>0.66388888888888886</v>
      </c>
      <c r="AJ32" s="52" t="str">
        <f t="shared" si="44"/>
        <v>8h 45m</v>
      </c>
      <c r="AK32" s="59"/>
      <c r="AL32" s="219">
        <v>0.27777777777777779</v>
      </c>
      <c r="AM32" s="221">
        <v>0.67013888888888884</v>
      </c>
      <c r="AN32" s="52" t="str">
        <f t="shared" si="45"/>
        <v>9h 25m</v>
      </c>
      <c r="AO32" s="59"/>
      <c r="AP32" s="134" t="s">
        <v>71</v>
      </c>
      <c r="AQ32" s="139" t="s">
        <v>69</v>
      </c>
      <c r="AR32" s="52" t="str">
        <f>$BT$21</f>
        <v>0h 00m</v>
      </c>
      <c r="AS32" s="59"/>
      <c r="AT32" s="134" t="s">
        <v>71</v>
      </c>
      <c r="AU32" s="139" t="s">
        <v>69</v>
      </c>
      <c r="AV32" s="52" t="str">
        <f>$BT$21</f>
        <v>0h 00m</v>
      </c>
      <c r="AW32" s="32" t="s">
        <v>79</v>
      </c>
      <c r="AX32" s="208" t="s">
        <v>96</v>
      </c>
      <c r="AY32" s="209" t="s">
        <v>124</v>
      </c>
      <c r="AZ32" s="52" t="str">
        <f t="shared" si="46"/>
        <v>8h 50m</v>
      </c>
      <c r="BA32" s="59"/>
      <c r="BB32" s="208" t="s">
        <v>111</v>
      </c>
      <c r="BC32" s="209" t="s">
        <v>122</v>
      </c>
      <c r="BD32" s="52" t="str">
        <f t="shared" si="47"/>
        <v>8h 55m</v>
      </c>
      <c r="BE32" s="217"/>
      <c r="BF32" s="57"/>
      <c r="BG32" s="58"/>
      <c r="BH32" s="52" t="str">
        <f t="shared" si="51"/>
        <v>0h 00m</v>
      </c>
      <c r="BI32" s="59"/>
      <c r="BJ32" s="152" t="s">
        <v>71</v>
      </c>
      <c r="BK32" s="139" t="s">
        <v>69</v>
      </c>
      <c r="BL32" s="52" t="str">
        <f>$BT$21</f>
        <v>0h 00m</v>
      </c>
      <c r="BM32" s="32" t="s">
        <v>77</v>
      </c>
      <c r="BN32" s="57"/>
      <c r="BO32" s="58"/>
      <c r="BP32" s="52" t="str">
        <f t="shared" si="48"/>
        <v>0h 00m</v>
      </c>
      <c r="BQ32" s="59"/>
      <c r="BR32" s="150" t="s">
        <v>71</v>
      </c>
      <c r="BS32" s="139" t="s">
        <v>69</v>
      </c>
      <c r="BT32" s="52" t="str">
        <f>$BT$21</f>
        <v>0h 00m</v>
      </c>
      <c r="BU32" s="142" t="s">
        <v>73</v>
      </c>
      <c r="BV32" s="150" t="s">
        <v>71</v>
      </c>
      <c r="BW32" s="152" t="s">
        <v>69</v>
      </c>
      <c r="BX32" s="52" t="str">
        <f>$BX$22</f>
        <v>0h 00m</v>
      </c>
      <c r="BY32" s="210" t="s">
        <v>72</v>
      </c>
      <c r="BZ32" s="186"/>
      <c r="CA32" s="52"/>
      <c r="CB32" s="188" t="str">
        <f t="shared" si="42"/>
        <v>0h 00m</v>
      </c>
      <c r="CC32" s="187"/>
      <c r="CD32" s="149" t="s">
        <v>71</v>
      </c>
      <c r="CE32" s="138" t="s">
        <v>69</v>
      </c>
      <c r="CF32" s="52" t="str">
        <f>$BX$22</f>
        <v>0h 00m</v>
      </c>
      <c r="CG32" s="32" t="s">
        <v>76</v>
      </c>
      <c r="CH32" s="219">
        <v>0.30069444444444443</v>
      </c>
      <c r="CI32" s="221">
        <v>0.67708333333333337</v>
      </c>
      <c r="CJ32" s="52" t="str">
        <f t="shared" si="33"/>
        <v>9h 02m</v>
      </c>
      <c r="CK32" s="59"/>
      <c r="CL32" s="135" t="s">
        <v>71</v>
      </c>
      <c r="CM32" s="137" t="s">
        <v>69</v>
      </c>
      <c r="CN32" s="52" t="str">
        <f>$CN$21</f>
        <v>0h 00m</v>
      </c>
      <c r="CO32" s="32" t="s">
        <v>82</v>
      </c>
      <c r="CP32" s="135" t="s">
        <v>71</v>
      </c>
      <c r="CQ32" s="137" t="s">
        <v>69</v>
      </c>
      <c r="CR32" s="52" t="str">
        <f>$CN$21</f>
        <v>0h 00m</v>
      </c>
      <c r="CS32" s="56" t="s">
        <v>80</v>
      </c>
      <c r="CT32" s="135" t="s">
        <v>71</v>
      </c>
      <c r="CU32" s="137" t="s">
        <v>69</v>
      </c>
      <c r="CV32" s="52" t="str">
        <f>$CV$29</f>
        <v>0h 00m</v>
      </c>
      <c r="CW32" s="146" t="s">
        <v>75</v>
      </c>
      <c r="CX32" s="218">
        <v>0.27777777777777779</v>
      </c>
      <c r="CY32" s="220">
        <v>0.65972222222222221</v>
      </c>
      <c r="CZ32" s="188" t="str">
        <f t="shared" si="40"/>
        <v>9h 10m</v>
      </c>
      <c r="DA32" s="187"/>
      <c r="DB32" s="216" t="s">
        <v>110</v>
      </c>
      <c r="DC32" s="209" t="s">
        <v>123</v>
      </c>
      <c r="DD32" s="52" t="str">
        <f t="shared" si="49"/>
        <v>8h 56m</v>
      </c>
      <c r="DE32" s="59"/>
      <c r="DF32" s="57"/>
      <c r="DG32" s="58"/>
      <c r="DH32" s="52" t="str">
        <f t="shared" si="50"/>
        <v>0h 00m</v>
      </c>
      <c r="DI32" s="59"/>
      <c r="DJ32" s="134" t="s">
        <v>71</v>
      </c>
      <c r="DK32" s="136" t="s">
        <v>69</v>
      </c>
      <c r="DL32" s="52" t="str">
        <f>$CV$29</f>
        <v>0h 00m</v>
      </c>
      <c r="DM32" s="151" t="s">
        <v>83</v>
      </c>
      <c r="DN32" s="55"/>
      <c r="DO32" s="55"/>
    </row>
    <row r="33" spans="1:120" ht="15" thickBot="1">
      <c r="A33" s="2"/>
      <c r="B33" s="225" t="s">
        <v>24</v>
      </c>
      <c r="C33" s="226"/>
      <c r="D33" s="160" t="str">
        <f t="shared" ref="D33" si="52">TEXT(SUMPRODUCT(VALUE(LEFT(D2:D32, FIND("h", D2:D32)-1)) + VALUE(MID(D2:D32, FIND("h", D2:D32)+2, FIND("m", D2:D32)-FIND("h", D2:D32)-2))/60)/24, "[h]:mm")</f>
        <v>36:24</v>
      </c>
      <c r="E33" s="169"/>
      <c r="F33" s="225" t="s">
        <v>24</v>
      </c>
      <c r="G33" s="226"/>
      <c r="H33" s="64" t="str">
        <f t="shared" ref="H33" si="53">TEXT(SUMPRODUCT(VALUE(LEFT(H2:H32, FIND("h", H2:H32)-1)) + VALUE(MID(H2:H32, FIND("h", H2:H32)+2, FIND("m", H2:H32)-FIND("h", H2:H32)-2))/60)/24, "[h]:mm")</f>
        <v>18:19</v>
      </c>
      <c r="I33" s="129"/>
      <c r="J33" s="225" t="s">
        <v>24</v>
      </c>
      <c r="K33" s="226"/>
      <c r="L33" s="64" t="str">
        <f t="shared" ref="L33:CF33" si="54">TEXT(SUMPRODUCT(VALUE(LEFT(L2:L32, FIND("h", L2:L32)-1)) + VALUE(MID(L2:L32, FIND("h", L2:L32)+2, FIND("m", L2:L32)-FIND("h", L2:L32)-2))/60)/24, "[h]:mm")</f>
        <v>5:13</v>
      </c>
      <c r="M33" s="23"/>
      <c r="N33" s="225" t="s">
        <v>24</v>
      </c>
      <c r="O33" s="226"/>
      <c r="P33" s="65" t="str">
        <f t="shared" si="54"/>
        <v>184:15</v>
      </c>
      <c r="Q33" s="24"/>
      <c r="R33" s="225" t="s">
        <v>24</v>
      </c>
      <c r="S33" s="226"/>
      <c r="T33" s="183" t="str">
        <f t="shared" si="54"/>
        <v>82:23</v>
      </c>
      <c r="U33" s="197"/>
      <c r="V33" s="225" t="s">
        <v>24</v>
      </c>
      <c r="W33" s="226"/>
      <c r="X33" s="65" t="str">
        <f t="shared" si="54"/>
        <v>78:33</v>
      </c>
      <c r="Y33" s="22"/>
      <c r="Z33" s="225" t="s">
        <v>24</v>
      </c>
      <c r="AA33" s="226"/>
      <c r="AB33" s="65" t="str">
        <f t="shared" si="54"/>
        <v>101:25</v>
      </c>
      <c r="AC33" s="22"/>
      <c r="AD33" s="225" t="s">
        <v>24</v>
      </c>
      <c r="AE33" s="226"/>
      <c r="AF33" s="65" t="str">
        <f t="shared" si="54"/>
        <v>98:35</v>
      </c>
      <c r="AG33" s="18"/>
      <c r="AH33" s="225" t="s">
        <v>24</v>
      </c>
      <c r="AI33" s="226"/>
      <c r="AJ33" s="65" t="str">
        <f t="shared" si="54"/>
        <v>183:19</v>
      </c>
      <c r="AK33" s="21"/>
      <c r="AL33" s="225" t="s">
        <v>24</v>
      </c>
      <c r="AM33" s="226"/>
      <c r="AN33" s="65" t="str">
        <f t="shared" si="54"/>
        <v>186:40</v>
      </c>
      <c r="AO33" s="18"/>
      <c r="AP33" s="225" t="s">
        <v>24</v>
      </c>
      <c r="AQ33" s="226"/>
      <c r="AR33" s="65" t="str">
        <f t="shared" si="54"/>
        <v>73:17</v>
      </c>
      <c r="AS33" s="18"/>
      <c r="AT33" s="225" t="s">
        <v>24</v>
      </c>
      <c r="AU33" s="226"/>
      <c r="AV33" s="65" t="str">
        <f t="shared" si="54"/>
        <v>123:56</v>
      </c>
      <c r="AW33" s="18"/>
      <c r="AX33" s="225" t="s">
        <v>24</v>
      </c>
      <c r="AY33" s="226"/>
      <c r="AZ33" s="65" t="str">
        <f t="shared" si="54"/>
        <v>178:56</v>
      </c>
      <c r="BA33" s="18"/>
      <c r="BB33" s="225" t="s">
        <v>24</v>
      </c>
      <c r="BC33" s="226"/>
      <c r="BD33" s="65" t="str">
        <f t="shared" si="54"/>
        <v>176:45</v>
      </c>
      <c r="BE33" s="18"/>
      <c r="BF33" s="225" t="s">
        <v>24</v>
      </c>
      <c r="BG33" s="226"/>
      <c r="BH33" s="65" t="str">
        <f t="shared" si="54"/>
        <v>25:00</v>
      </c>
      <c r="BI33" s="65"/>
      <c r="BJ33" s="225" t="s">
        <v>24</v>
      </c>
      <c r="BK33" s="226"/>
      <c r="BL33" s="65" t="str">
        <f t="shared" si="54"/>
        <v>130:00</v>
      </c>
      <c r="BM33" s="18"/>
      <c r="BN33" s="225" t="s">
        <v>24</v>
      </c>
      <c r="BO33" s="226"/>
      <c r="BP33" s="65" t="str">
        <f t="shared" si="54"/>
        <v>110:51</v>
      </c>
      <c r="BQ33" s="18"/>
      <c r="BR33" s="225" t="s">
        <v>24</v>
      </c>
      <c r="BS33" s="226"/>
      <c r="BT33" s="65" t="str">
        <f t="shared" si="54"/>
        <v>109:28</v>
      </c>
      <c r="BU33" s="18"/>
      <c r="BV33" s="225" t="s">
        <v>24</v>
      </c>
      <c r="BW33" s="226"/>
      <c r="BX33" s="65" t="str">
        <f t="shared" si="54"/>
        <v>121:18</v>
      </c>
      <c r="BY33" s="18"/>
      <c r="BZ33" s="225" t="s">
        <v>24</v>
      </c>
      <c r="CA33" s="226"/>
      <c r="CB33" s="183" t="str">
        <f t="shared" si="54"/>
        <v>18:35</v>
      </c>
      <c r="CC33" s="18"/>
      <c r="CD33" s="225" t="s">
        <v>24</v>
      </c>
      <c r="CE33" s="226"/>
      <c r="CF33" s="65" t="str">
        <f t="shared" si="54"/>
        <v>118:19</v>
      </c>
      <c r="CG33" s="65"/>
      <c r="CH33" s="225" t="s">
        <v>24</v>
      </c>
      <c r="CI33" s="226"/>
      <c r="CJ33" s="65" t="str">
        <f t="shared" ref="CJ33:DH33" si="55">TEXT(SUMPRODUCT(VALUE(LEFT(CJ2:CJ32, FIND("h", CJ2:CJ32)-1)) + VALUE(MID(CJ2:CJ32, FIND("h", CJ2:CJ32)+2, FIND("m", CJ2:CJ32)-FIND("h", CJ2:CJ32)-2))/60)/24, "[h]:mm")</f>
        <v>183:20</v>
      </c>
      <c r="CK33" s="18"/>
      <c r="CL33" s="225" t="s">
        <v>24</v>
      </c>
      <c r="CM33" s="226"/>
      <c r="CN33" s="65" t="str">
        <f t="shared" si="55"/>
        <v>100:54</v>
      </c>
      <c r="CO33" s="18"/>
      <c r="CP33" s="225" t="s">
        <v>24</v>
      </c>
      <c r="CQ33" s="226"/>
      <c r="CR33" s="65" t="e">
        <f t="shared" si="55"/>
        <v>#VALUE!</v>
      </c>
      <c r="CS33" s="18"/>
      <c r="CT33" s="225" t="s">
        <v>24</v>
      </c>
      <c r="CU33" s="226"/>
      <c r="CV33" s="64" t="str">
        <f t="shared" si="55"/>
        <v>152:12</v>
      </c>
      <c r="CW33" s="64"/>
      <c r="CX33" s="225" t="s">
        <v>24</v>
      </c>
      <c r="CY33" s="226"/>
      <c r="CZ33" s="65" t="str">
        <f t="shared" si="55"/>
        <v>122:30</v>
      </c>
      <c r="DA33" s="184"/>
      <c r="DB33" s="225" t="s">
        <v>24</v>
      </c>
      <c r="DC33" s="226"/>
      <c r="DD33" s="65" t="str">
        <f t="shared" si="55"/>
        <v>191:00</v>
      </c>
      <c r="DE33" s="18"/>
      <c r="DF33" s="225" t="s">
        <v>24</v>
      </c>
      <c r="DG33" s="226"/>
      <c r="DH33" s="65" t="str">
        <f t="shared" si="55"/>
        <v>45:09</v>
      </c>
      <c r="DI33" s="18"/>
      <c r="DJ33" s="233" t="s">
        <v>24</v>
      </c>
      <c r="DK33" s="234"/>
      <c r="DL33" s="153" t="str">
        <f>TEXT(SUMPRODUCT(VALUE(LEFT(DL2:DL32, FIND("h", DL2:DL32)-1)) + VALUE(MID(DL2:DL32, FIND("h", DL2:DL32)+2, FIND("m", DL2:DL32)-FIND("h", DL2:DL32)-2))/60)/24, "[h]:mm")</f>
        <v>109:58</v>
      </c>
      <c r="DM33" s="8"/>
      <c r="DP33" s="8"/>
    </row>
    <row r="34" spans="1:120" ht="15" thickBot="1">
      <c r="A34" s="2"/>
      <c r="B34" s="158"/>
      <c r="C34" s="170"/>
      <c r="D34" s="19"/>
      <c r="E34" s="19"/>
      <c r="F34" s="8"/>
      <c r="G34" s="8"/>
      <c r="H34" s="8"/>
      <c r="I34" s="2"/>
      <c r="L34" s="8"/>
      <c r="P34" s="8"/>
      <c r="Q34" s="8"/>
      <c r="R34" s="8"/>
      <c r="S34" s="8"/>
      <c r="T34" s="8"/>
      <c r="X34" s="8"/>
      <c r="AB34" s="8"/>
      <c r="AF34" s="8"/>
      <c r="AJ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</row>
    <row r="35" spans="1:120" ht="15" thickBot="1">
      <c r="A35" s="3" t="s">
        <v>25</v>
      </c>
      <c r="B35" s="225" t="s">
        <v>29</v>
      </c>
      <c r="C35" s="234"/>
      <c r="D35" s="19"/>
      <c r="E35" s="19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M35" s="8"/>
      <c r="DN35" s="8"/>
      <c r="DO35" s="8"/>
      <c r="DP35" s="8"/>
    </row>
    <row r="36" spans="1:120">
      <c r="A36" s="4"/>
      <c r="B36" s="237" t="s">
        <v>26</v>
      </c>
      <c r="C36" s="237"/>
      <c r="D36" s="19"/>
      <c r="E36" s="19"/>
      <c r="F36" s="19"/>
      <c r="G36" s="20"/>
      <c r="H36" s="19"/>
      <c r="I36" s="19"/>
      <c r="P36" s="19"/>
      <c r="Q36" s="19"/>
      <c r="R36" s="19"/>
      <c r="S36" s="19"/>
      <c r="T36" s="19"/>
      <c r="U36" s="19"/>
      <c r="X36" s="19"/>
      <c r="Y36" s="19"/>
      <c r="DM36" s="8"/>
      <c r="DN36" s="8"/>
      <c r="DO36" s="8"/>
      <c r="DP36" s="8"/>
    </row>
    <row r="37" spans="1:120">
      <c r="A37" s="5"/>
      <c r="B37" s="235" t="s">
        <v>27</v>
      </c>
      <c r="C37" s="236"/>
      <c r="D37" s="19"/>
      <c r="E37" s="19"/>
      <c r="F37" s="19"/>
      <c r="G37" s="20"/>
      <c r="H37" s="19"/>
      <c r="I37" s="19"/>
      <c r="P37" s="19"/>
      <c r="Q37" s="19"/>
      <c r="R37" s="19"/>
      <c r="S37" s="19"/>
      <c r="T37" s="19"/>
      <c r="U37" s="19"/>
      <c r="X37" s="19"/>
      <c r="Y37" s="19"/>
      <c r="DM37" s="8"/>
      <c r="DN37" s="8"/>
      <c r="DO37" s="8"/>
      <c r="DP37" s="8"/>
    </row>
    <row r="38" spans="1:120">
      <c r="A38" s="6"/>
      <c r="B38" s="235" t="s">
        <v>28</v>
      </c>
      <c r="C38" s="236"/>
      <c r="D38" s="19"/>
      <c r="E38" s="19"/>
      <c r="F38" s="19"/>
      <c r="G38" s="20"/>
      <c r="H38" s="19"/>
      <c r="I38" s="19"/>
      <c r="P38" s="19"/>
      <c r="Q38" s="19"/>
      <c r="R38" s="19"/>
      <c r="S38" s="19"/>
      <c r="T38" s="19"/>
      <c r="U38" s="19"/>
      <c r="X38" s="19"/>
      <c r="Y38" s="19"/>
      <c r="DM38" s="8"/>
      <c r="DN38" s="8"/>
      <c r="DO38" s="8"/>
      <c r="DP38" s="8"/>
    </row>
    <row r="39" spans="1:120">
      <c r="A39" s="130"/>
      <c r="B39" s="235" t="s">
        <v>66</v>
      </c>
      <c r="C39" s="236"/>
      <c r="D39" s="19"/>
      <c r="E39" s="19"/>
      <c r="F39" s="19"/>
      <c r="G39" s="20"/>
      <c r="H39" s="19"/>
      <c r="I39" s="19"/>
      <c r="P39" s="19"/>
      <c r="Q39" s="19"/>
      <c r="R39" s="19"/>
      <c r="S39" s="19"/>
      <c r="T39" s="19"/>
      <c r="U39" s="19"/>
      <c r="X39" s="19"/>
      <c r="Y39" s="19"/>
      <c r="DM39" s="8"/>
      <c r="DN39" s="8"/>
      <c r="DO39" s="8"/>
      <c r="DP39" s="8"/>
    </row>
    <row r="40" spans="1:120">
      <c r="A40" s="25"/>
      <c r="B40" s="235" t="s">
        <v>32</v>
      </c>
      <c r="C40" s="236"/>
      <c r="D40" s="19"/>
      <c r="E40" s="19"/>
      <c r="F40" s="19"/>
      <c r="G40" s="19"/>
      <c r="H40" s="20"/>
      <c r="I40" s="20"/>
      <c r="L40" s="20"/>
      <c r="M40" s="20"/>
      <c r="P40" s="19"/>
      <c r="Q40" s="19"/>
      <c r="R40" s="19"/>
      <c r="S40" s="19"/>
      <c r="T40" s="19"/>
      <c r="U40" s="19"/>
      <c r="X40" s="19"/>
      <c r="Y40" s="19"/>
      <c r="DM40" s="8"/>
      <c r="DN40" s="8"/>
      <c r="DO40" s="8"/>
      <c r="DP40" s="8"/>
    </row>
    <row r="41" spans="1:120">
      <c r="A41" s="96"/>
      <c r="B41" s="235" t="s">
        <v>64</v>
      </c>
      <c r="C41" s="236"/>
      <c r="D41" s="19"/>
      <c r="E41" s="19"/>
      <c r="F41" s="19"/>
      <c r="G41" s="19"/>
      <c r="H41" s="20"/>
      <c r="I41" s="20"/>
      <c r="L41" s="20"/>
      <c r="M41" s="20"/>
      <c r="P41" s="19"/>
      <c r="Q41" s="19"/>
      <c r="R41" s="19"/>
      <c r="S41" s="19"/>
      <c r="T41" s="19"/>
      <c r="U41" s="19"/>
      <c r="X41" s="19"/>
      <c r="Y41" s="19"/>
      <c r="DM41" s="8"/>
      <c r="DN41" s="8"/>
      <c r="DO41" s="8"/>
      <c r="DP41" s="8"/>
    </row>
    <row r="42" spans="1:120">
      <c r="A42" s="2"/>
      <c r="B42" s="158"/>
      <c r="C42" s="158"/>
      <c r="D42" s="158"/>
      <c r="E42" s="158"/>
      <c r="F42" s="19"/>
      <c r="G42" s="19"/>
      <c r="H42" s="19"/>
      <c r="I42" s="19"/>
      <c r="L42" s="20"/>
      <c r="M42" s="20"/>
      <c r="X42" s="19"/>
      <c r="Y42" s="19"/>
      <c r="DM42" s="8"/>
      <c r="DN42" s="8"/>
      <c r="DO42" s="8"/>
      <c r="DP42" s="8"/>
    </row>
  </sheetData>
  <mergeCells count="65">
    <mergeCell ref="BF1:BI1"/>
    <mergeCell ref="BF33:BG33"/>
    <mergeCell ref="R1:U1"/>
    <mergeCell ref="R33:S33"/>
    <mergeCell ref="BZ1:CC1"/>
    <mergeCell ref="BZ33:CA33"/>
    <mergeCell ref="BB1:BE1"/>
    <mergeCell ref="BB33:BC33"/>
    <mergeCell ref="BJ33:BK33"/>
    <mergeCell ref="BN33:BO33"/>
    <mergeCell ref="BR33:BS33"/>
    <mergeCell ref="B39:C39"/>
    <mergeCell ref="AT1:AW1"/>
    <mergeCell ref="AP1:AS1"/>
    <mergeCell ref="AL1:AO1"/>
    <mergeCell ref="AH1:AK1"/>
    <mergeCell ref="N1:Q1"/>
    <mergeCell ref="Z1:AC1"/>
    <mergeCell ref="B1:E1"/>
    <mergeCell ref="B33:C33"/>
    <mergeCell ref="B36:C36"/>
    <mergeCell ref="B37:C37"/>
    <mergeCell ref="B38:C38"/>
    <mergeCell ref="B35:C35"/>
    <mergeCell ref="B41:C41"/>
    <mergeCell ref="B40:C40"/>
    <mergeCell ref="V1:Y1"/>
    <mergeCell ref="DJ1:DM1"/>
    <mergeCell ref="DF1:DI1"/>
    <mergeCell ref="DB1:DE1"/>
    <mergeCell ref="CT1:CW1"/>
    <mergeCell ref="CP1:CS1"/>
    <mergeCell ref="CL1:CO1"/>
    <mergeCell ref="CH1:CK1"/>
    <mergeCell ref="CD1:CG1"/>
    <mergeCell ref="BV1:BY1"/>
    <mergeCell ref="BR1:BU1"/>
    <mergeCell ref="BN1:BQ1"/>
    <mergeCell ref="BJ1:BM1"/>
    <mergeCell ref="AX1:BA1"/>
    <mergeCell ref="DF33:DG33"/>
    <mergeCell ref="DJ33:DK33"/>
    <mergeCell ref="BV33:BW33"/>
    <mergeCell ref="CD33:CE33"/>
    <mergeCell ref="CH33:CI33"/>
    <mergeCell ref="CL33:CM33"/>
    <mergeCell ref="CP33:CQ33"/>
    <mergeCell ref="DB33:DC33"/>
    <mergeCell ref="CT33:CU33"/>
    <mergeCell ref="CX1:DA1"/>
    <mergeCell ref="CX33:CY33"/>
    <mergeCell ref="F1:I1"/>
    <mergeCell ref="F33:G33"/>
    <mergeCell ref="AX33:AY33"/>
    <mergeCell ref="J33:K33"/>
    <mergeCell ref="N33:O33"/>
    <mergeCell ref="V33:W33"/>
    <mergeCell ref="Z33:AA33"/>
    <mergeCell ref="AD33:AE33"/>
    <mergeCell ref="AL33:AM33"/>
    <mergeCell ref="AP33:AQ33"/>
    <mergeCell ref="AT33:AU33"/>
    <mergeCell ref="AH33:AI33"/>
    <mergeCell ref="AD1:AG1"/>
    <mergeCell ref="J1:M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Harold Storbeck</dc:creator>
  <cp:lastModifiedBy>Linda</cp:lastModifiedBy>
  <dcterms:created xsi:type="dcterms:W3CDTF">2025-11-03T05:30:46Z</dcterms:created>
  <dcterms:modified xsi:type="dcterms:W3CDTF">2026-01-05T07:03:34Z</dcterms:modified>
</cp:coreProperties>
</file>